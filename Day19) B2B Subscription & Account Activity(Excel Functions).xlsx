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\Daily Linkedin Post\"/>
    </mc:Choice>
  </mc:AlternateContent>
  <xr:revisionPtr revIDLastSave="0" documentId="8_{028588A0-C51B-43BA-82B8-6FD5BA8E13E8}" xr6:coauthVersionLast="47" xr6:coauthVersionMax="47" xr10:uidLastSave="{00000000-0000-0000-0000-000000000000}"/>
  <bookViews>
    <workbookView xWindow="-120" yWindow="-120" windowWidth="20730" windowHeight="11310" firstSheet="1" activeTab="5" xr2:uid="{98540747-C1C9-41EB-9F5A-D9DC8BCCCF1E}"/>
  </bookViews>
  <sheets>
    <sheet name="Subscriptions" sheetId="1" r:id="rId1"/>
    <sheet name="Account Executives" sheetId="2" r:id="rId2"/>
    <sheet name="Onboarding tier" sheetId="3" r:id="rId3"/>
    <sheet name="Section 2)" sheetId="4" r:id="rId4"/>
    <sheet name="Section 3)" sheetId="5" r:id="rId5"/>
    <sheet name="Section 4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6" l="1" a="1"/>
  <c r="B17" i="6" s="1"/>
  <c r="A6" i="6" a="1"/>
  <c r="A6" i="6" s="1"/>
  <c r="A7" i="6" a="1"/>
  <c r="A7" i="6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B12" i="5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B7" i="5"/>
  <c r="B6" i="5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B25" i="4"/>
  <c r="B20" i="4"/>
  <c r="B15" i="4" a="1"/>
  <c r="B15" i="4" s="1"/>
  <c r="B9" i="4"/>
  <c r="Q2" i="1" a="1"/>
  <c r="Q2" i="1" s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O2" i="1"/>
  <c r="P2" i="1" s="1"/>
  <c r="R2" i="1" s="1"/>
  <c r="O3" i="1"/>
  <c r="P3" i="1" s="1"/>
  <c r="R3" i="1" s="1"/>
  <c r="O4" i="1"/>
  <c r="P4" i="1" s="1"/>
  <c r="R4" i="1" s="1"/>
  <c r="O5" i="1"/>
  <c r="P5" i="1" s="1"/>
  <c r="R5" i="1" s="1"/>
  <c r="O6" i="1"/>
  <c r="P6" i="1" s="1"/>
  <c r="R6" i="1" s="1"/>
  <c r="O7" i="1"/>
  <c r="P7" i="1" s="1"/>
  <c r="T7" i="1" s="1"/>
  <c r="O8" i="1"/>
  <c r="P8" i="1" s="1"/>
  <c r="R8" i="1" s="1"/>
  <c r="O9" i="1"/>
  <c r="P9" i="1" s="1"/>
  <c r="R9" i="1" s="1"/>
  <c r="O10" i="1"/>
  <c r="P10" i="1" s="1"/>
  <c r="T10" i="1" s="1"/>
  <c r="O11" i="1"/>
  <c r="P11" i="1" s="1"/>
  <c r="R11" i="1" s="1"/>
  <c r="O12" i="1"/>
  <c r="P12" i="1" s="1"/>
  <c r="R12" i="1" s="1"/>
  <c r="O13" i="1"/>
  <c r="P13" i="1" s="1"/>
  <c r="R13" i="1" s="1"/>
  <c r="O14" i="1"/>
  <c r="P14" i="1" s="1"/>
  <c r="R14" i="1" s="1"/>
  <c r="O15" i="1"/>
  <c r="P15" i="1" s="1"/>
  <c r="T15" i="1" s="1"/>
  <c r="O16" i="1"/>
  <c r="P16" i="1" s="1"/>
  <c r="R16" i="1" s="1"/>
  <c r="O17" i="1"/>
  <c r="P17" i="1" s="1"/>
  <c r="R17" i="1" s="1"/>
  <c r="O18" i="1"/>
  <c r="P18" i="1" s="1"/>
  <c r="R18" i="1" s="1"/>
  <c r="O19" i="1"/>
  <c r="P19" i="1" s="1"/>
  <c r="R19" i="1" s="1"/>
  <c r="O20" i="1"/>
  <c r="P20" i="1" s="1"/>
  <c r="R20" i="1" s="1"/>
  <c r="O21" i="1"/>
  <c r="P21" i="1" s="1"/>
  <c r="R21" i="1" s="1"/>
  <c r="O22" i="1"/>
  <c r="P22" i="1" s="1"/>
  <c r="R22" i="1" s="1"/>
  <c r="O23" i="1"/>
  <c r="P23" i="1" s="1"/>
  <c r="R23" i="1" s="1"/>
  <c r="O24" i="1"/>
  <c r="P24" i="1" s="1"/>
  <c r="R24" i="1" s="1"/>
  <c r="O25" i="1"/>
  <c r="P25" i="1" s="1"/>
  <c r="R25" i="1" s="1"/>
  <c r="O26" i="1"/>
  <c r="P26" i="1" s="1"/>
  <c r="T26" i="1" s="1"/>
  <c r="T25" i="1" l="1"/>
  <c r="T9" i="1"/>
  <c r="T21" i="1"/>
  <c r="T5" i="1"/>
  <c r="T17" i="1"/>
  <c r="T13" i="1"/>
  <c r="R7" i="1"/>
  <c r="R15" i="1"/>
  <c r="T23" i="1"/>
  <c r="T19" i="1"/>
  <c r="T11" i="1"/>
  <c r="T3" i="1"/>
  <c r="R26" i="1"/>
  <c r="R10" i="1"/>
  <c r="T22" i="1"/>
  <c r="T18" i="1"/>
  <c r="T14" i="1"/>
  <c r="T6" i="1"/>
  <c r="T2" i="1"/>
  <c r="T24" i="1"/>
  <c r="T20" i="1"/>
  <c r="T16" i="1"/>
  <c r="T12" i="1"/>
  <c r="T8" i="1"/>
  <c r="T4" i="1"/>
  <c r="B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<sst xmlns="http://schemas.openxmlformats.org/spreadsheetml/2006/main" count="307" uniqueCount="128">
  <si>
    <t>Row_ID</t>
  </si>
  <si>
    <t>Subscription_ID</t>
  </si>
  <si>
    <t>Signup_Date</t>
  </si>
  <si>
    <t>Account_ID</t>
  </si>
  <si>
    <t>Territory</t>
  </si>
  <si>
    <t>Account_Exec_ID</t>
  </si>
  <si>
    <t>Plan_Type</t>
  </si>
  <si>
    <t>Add_On_Module</t>
  </si>
  <si>
    <t>Licenses</t>
  </si>
  <si>
    <t>License_Fee</t>
  </si>
  <si>
    <t>Discount</t>
  </si>
  <si>
    <t>Billing_Cycle</t>
  </si>
  <si>
    <t>Onboarding_Days</t>
  </si>
  <si>
    <t>Churn_Risk</t>
  </si>
  <si>
    <t>SUB-801</t>
  </si>
  <si>
    <t>ACC-301</t>
  </si>
  <si>
    <t>EMEA</t>
  </si>
  <si>
    <t>AE-11</t>
  </si>
  <si>
    <t>Enterprise</t>
  </si>
  <si>
    <t>Security Pack</t>
  </si>
  <si>
    <t>Annual</t>
  </si>
  <si>
    <t>No</t>
  </si>
  <si>
    <t>SUB-802</t>
  </si>
  <si>
    <t>ACC-302</t>
  </si>
  <si>
    <t>APAC</t>
  </si>
  <si>
    <t>AE-13</t>
  </si>
  <si>
    <t>Professional</t>
  </si>
  <si>
    <t>Analytics</t>
  </si>
  <si>
    <t>Monthly</t>
  </si>
  <si>
    <t>SUB-803</t>
  </si>
  <si>
    <t>ACC-303</t>
  </si>
  <si>
    <t>North America</t>
  </si>
  <si>
    <t>AE-12</t>
  </si>
  <si>
    <t>Starter</t>
  </si>
  <si>
    <t>None</t>
  </si>
  <si>
    <t>SUB-804</t>
  </si>
  <si>
    <t>ACC-304</t>
  </si>
  <si>
    <t>LATAM</t>
  </si>
  <si>
    <t>AE-14</t>
  </si>
  <si>
    <t>Yes</t>
  </si>
  <si>
    <t>SUB-805</t>
  </si>
  <si>
    <t>API Access</t>
  </si>
  <si>
    <t>SUB-806</t>
  </si>
  <si>
    <t>ACC-305</t>
  </si>
  <si>
    <t>SUB-807</t>
  </si>
  <si>
    <t>ACC-306</t>
  </si>
  <si>
    <t>SUB-808</t>
  </si>
  <si>
    <t>ACC-307</t>
  </si>
  <si>
    <t>AE-15</t>
  </si>
  <si>
    <t>SUB-809</t>
  </si>
  <si>
    <t>ACC-308</t>
  </si>
  <si>
    <t>SUB-810</t>
  </si>
  <si>
    <t>SUB-811</t>
  </si>
  <si>
    <t>ACC-309</t>
  </si>
  <si>
    <t>SUB-812</t>
  </si>
  <si>
    <t>ACC-310</t>
  </si>
  <si>
    <t>SUB-813</t>
  </si>
  <si>
    <t>SUB-814</t>
  </si>
  <si>
    <t>ACC-311</t>
  </si>
  <si>
    <t>SUB-815</t>
  </si>
  <si>
    <t>ACC-312</t>
  </si>
  <si>
    <t>SUB-816</t>
  </si>
  <si>
    <t>ACC-313</t>
  </si>
  <si>
    <t>SUB-817</t>
  </si>
  <si>
    <t>SUB-818</t>
  </si>
  <si>
    <t>ACC-314</t>
  </si>
  <si>
    <t>SUB-819</t>
  </si>
  <si>
    <t>SUB-820</t>
  </si>
  <si>
    <t>ACC-315</t>
  </si>
  <si>
    <t>SUB-821</t>
  </si>
  <si>
    <t>ACC-316</t>
  </si>
  <si>
    <t>SUB-822</t>
  </si>
  <si>
    <t>SUB-823</t>
  </si>
  <si>
    <t>SUB-824</t>
  </si>
  <si>
    <t>ACC-317</t>
  </si>
  <si>
    <t>SUB-825</t>
  </si>
  <si>
    <t>Executive_Name</t>
  </si>
  <si>
    <t>Commission_Rate</t>
  </si>
  <si>
    <t>Quota_Region</t>
  </si>
  <si>
    <t>Marcus Lindqvist</t>
  </si>
  <si>
    <t>Sarah Jenkins</t>
  </si>
  <si>
    <t>Kenji Sato</t>
  </si>
  <si>
    <t>Camila Rocha</t>
  </si>
  <si>
    <t>Liam O'Connor</t>
  </si>
  <si>
    <t>Min_Days</t>
  </si>
  <si>
    <t>Max_Days</t>
  </si>
  <si>
    <t>Health_Status</t>
  </si>
  <si>
    <t>Optimal</t>
  </si>
  <si>
    <t>Acceptable</t>
  </si>
  <si>
    <t>Escalated</t>
  </si>
  <si>
    <t>Contract Gross Value</t>
  </si>
  <si>
    <t>Net ARR</t>
  </si>
  <si>
    <t>Discount Tier</t>
  </si>
  <si>
    <t>Intervention Alert</t>
  </si>
  <si>
    <t>Territory ARR Total</t>
  </si>
  <si>
    <t>Q-1)</t>
  </si>
  <si>
    <t>Q-2)</t>
  </si>
  <si>
    <t>Billing Term Count</t>
  </si>
  <si>
    <t>Q-3)</t>
  </si>
  <si>
    <t>SUMIFS</t>
  </si>
  <si>
    <t>COUNTIFS</t>
  </si>
  <si>
    <t>AVERAGEIFS</t>
  </si>
  <si>
    <t>Q-4)</t>
  </si>
  <si>
    <t xml:space="preserve">Q-5) </t>
  </si>
  <si>
    <t>Implementation Bottleneck Count</t>
  </si>
  <si>
    <t>&gt;0</t>
  </si>
  <si>
    <t xml:space="preserve"> Professional</t>
  </si>
  <si>
    <t xml:space="preserve"> APAC</t>
  </si>
  <si>
    <t>Time-Bound Expansion(Sum of Licences)</t>
  </si>
  <si>
    <t>Cross-Territory Pricing [AVG of Licences Fee]</t>
  </si>
  <si>
    <t xml:space="preserve"> &gt;=2024-02-01</t>
  </si>
  <si>
    <t>&lt;=2024-05-31</t>
  </si>
  <si>
    <t>&gt;30</t>
  </si>
  <si>
    <t>&gt;=20</t>
  </si>
  <si>
    <t>Commission_Payout</t>
  </si>
  <si>
    <t>Reverse/Leftward Match</t>
  </si>
  <si>
    <t>Q 3)</t>
  </si>
  <si>
    <t xml:space="preserve">Account_ID </t>
  </si>
  <si>
    <t>XLOOKUP</t>
  </si>
  <si>
    <t>INDEX/MATCH</t>
  </si>
  <si>
    <t>Health_Status(XL)</t>
  </si>
  <si>
    <t>Health_Status(VL)</t>
  </si>
  <si>
    <t>AE-99</t>
  </si>
  <si>
    <t>Find Account Exc details(if not found mention unassigned)</t>
  </si>
  <si>
    <t>ID Extraction</t>
  </si>
  <si>
    <t>Dynamic Filter (FILTER):</t>
  </si>
  <si>
    <t xml:space="preserve">Churn_Risk </t>
  </si>
  <si>
    <t>Unique Client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</si>
</sst>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0" borderId="0" xfId="0" applyFill="1"/>
    <xf numFmtId="0" fontId="0" fillId="0" borderId="1" xfId="0" applyBorder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7E3E9-8746-4A34-94ED-38044E77AE9A}" name="Subscriptions" displayName="Subscriptions" ref="A1:W26" totalsRowShown="0">
  <autoFilter ref="A1:W26" xr:uid="{6F97E3E9-8746-4A34-94ED-38044E77AE9A}"/>
  <tableColumns count="23">
    <tableColumn id="1" xr3:uid="{8D7F1D4A-06A1-4D6D-A75D-5D3E94DE3573}" name="Row_ID"/>
    <tableColumn id="2" xr3:uid="{185EE8ED-ACC6-410D-9774-43C84888EEDF}" name="Subscription_ID"/>
    <tableColumn id="3" xr3:uid="{D128A83E-3D42-4790-8C0A-433E7FD15E26}" name="Signup_Date" dataDxfId="9"/>
    <tableColumn id="4" xr3:uid="{4DE62BD0-F9F1-4B17-9AE6-B8C3BF24F75B}" name="Account_ID"/>
    <tableColumn id="5" xr3:uid="{AD196F4F-53CE-4BBF-8869-56BAD4BAAC23}" name="Territory"/>
    <tableColumn id="6" xr3:uid="{ABE86CA0-6149-4CC4-9021-4317EE478E22}" name="Account_Exec_ID"/>
    <tableColumn id="7" xr3:uid="{68F5B098-458F-48F8-8FEE-F4FF13839334}" name="Plan_Type"/>
    <tableColumn id="8" xr3:uid="{7A6C3FE3-56AC-4215-A543-6E7DBF802E7F}" name="Add_On_Module"/>
    <tableColumn id="9" xr3:uid="{03012D96-9D17-4E4C-8B73-2D4C1E0A394A}" name="Licenses"/>
    <tableColumn id="10" xr3:uid="{E905C112-4AD1-4D95-8AD5-B76D38062AD7}" name="License_Fee"/>
    <tableColumn id="11" xr3:uid="{C07167E5-13E7-4AA0-B513-700A6B010BD5}" name="Discount"/>
    <tableColumn id="12" xr3:uid="{F4E56328-6382-4D77-838D-122FEDFFA71E}" name="Billing_Cycle"/>
    <tableColumn id="13" xr3:uid="{5770443C-93AC-487F-AA82-6B5FFB23A3D8}" name="Onboarding_Days"/>
    <tableColumn id="14" xr3:uid="{5B838EDD-1928-4A33-B07E-F5B9A3724C03}" name="Churn_Risk"/>
    <tableColumn id="15" xr3:uid="{982F33C5-569F-43E1-97CE-E9A6DD3FA094}" name="Contract Gross Value" dataDxfId="8">
      <calculatedColumnFormula>Subscriptions[[#This Row],[Licenses]]*Subscriptions[[#This Row],[License_Fee]]</calculatedColumnFormula>
    </tableColumn>
    <tableColumn id="16" xr3:uid="{BACFBC05-A1F6-42DC-A13C-CCC444E64D96}" name="Net ARR" dataDxfId="7">
      <calculatedColumnFormula>Subscriptions[[#This Row],[Contract Gross Value]]*(1-Subscriptions[[#This Row],[Discount]])</calculatedColumnFormula>
    </tableColumn>
    <tableColumn id="17" xr3:uid="{BC1036A6-17E4-4F6C-9841-0D9040ADA02B}" name="Discount Tier" dataDxfId="6">
      <calculatedColumnFormula array="1">_xlfn.IFS(Subscriptions[[#This Row],[Discount]]&gt;=0.15,"Strategic",AND(Subscriptions[[#This Row],[Discount]]&lt;0.15, Subscriptions[[#This Row],[Discount]]&gt;=0.05),"Standard",Subscriptions[[#This Row],[Discount]]=0,"List Price")</calculatedColumnFormula>
    </tableColumn>
    <tableColumn id="18" xr3:uid="{437DB156-D034-4894-90D5-552E1F3D9A46}" name="Intervention Alert" dataDxfId="5">
      <calculatedColumnFormula>IF(OR(Subscriptions[[#This Row],[Onboarding_Days]]&gt;30, AND(Subscriptions[[#This Row],[Churn_Risk]] = "Yes",Subscriptions[[#This Row],[Net ARR]]&gt;1500)),"Immediate Review","Healthy")</calculatedColumnFormula>
    </tableColumn>
    <tableColumn id="19" xr3:uid="{015B03E2-86DF-4B02-92CE-9F066D17FD44}" name="Executive_Name" dataDxfId="4">
      <calculatedColumnFormula>_xlfn.XLOOKUP(Subscriptions[[#This Row],[Account_Exec_ID]],AE_Lookup[Account_Exec_ID],AE_Lookup[Executive_Name])</calculatedColumnFormula>
    </tableColumn>
    <tableColumn id="20" xr3:uid="{96CDFC7D-0543-4D57-956F-9B1AC1E39213}" name="Commission_Payout" dataDxfId="3">
      <calculatedColumnFormula>Subscriptions[[#This Row],[Net ARR]]*INDEX(AE_Lookup[Commission_Rate],MATCH(Subscriptions[[#This Row],[Account_Exec_ID]],AE_Lookup[Account_Exec_ID]))</calculatedColumnFormula>
    </tableColumn>
    <tableColumn id="21" xr3:uid="{5966CB67-97A8-4AAA-8E14-3B1B7B8FF42F}" name="Health_Status(XL)" dataDxfId="2">
      <calculatedColumnFormula>_xlfn.XLOOKUP(Subscriptions[[#This Row],[Onboarding_Days]], Onboarding_Tier[Min_Days], Onboarding_Tier[Health_Status], "Unknown",-1 )</calculatedColumnFormula>
    </tableColumn>
    <tableColumn id="22" xr3:uid="{54E71741-AAA7-45FE-9CA5-4C3ABF252E99}" name="Health_Status(VL)" dataDxfId="1">
      <calculatedColumnFormula>VLOOKUP(Subscriptions[[#This Row],[Onboarding_Days]],Onboarding_Tier[#All],3,TRUE)</calculatedColumnFormula>
    </tableColumn>
    <tableColumn id="23" xr3:uid="{E62FC13D-5CF9-4454-9AA5-87EFBF586C84}" name="ID Extraction" dataDxfId="0">
      <calculatedColumnFormula>_xlfn.TEXTAFTER(Subscriptions[[#This Row],[Subscription_ID]],"-")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AB08FB-7E67-4241-8F38-9B52B4E1C85C}" name="AE_Lookup" displayName="AE_Lookup" ref="A1:D6" totalsRowShown="0">
  <autoFilter ref="A1:D6" xr:uid="{FCAB08FB-7E67-4241-8F38-9B52B4E1C85C}"/>
  <tableColumns count="4">
    <tableColumn id="1" xr3:uid="{E3CE362B-52CD-4DFB-A510-A6419EF5FE93}" name="Account_Exec_ID"/>
    <tableColumn id="2" xr3:uid="{5858DDFC-F5AC-4ABA-87AE-007EB2068A29}" name="Executive_Name"/>
    <tableColumn id="3" xr3:uid="{C3B848CA-D731-46BD-A585-F9E65CC5EE87}" name="Commission_Rate"/>
    <tableColumn id="4" xr3:uid="{94012425-785B-4F29-A60A-30C5E7E67F71}" name="Quota_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8273B-939E-495D-91DA-258103E0A0D5}" name="Onboarding_Tier" displayName="Onboarding_Tier" ref="A1:C4" totalsRowShown="0">
  <autoFilter ref="A1:C4" xr:uid="{B618273B-939E-495D-91DA-258103E0A0D5}"/>
  <tableColumns count="3">
    <tableColumn id="1" xr3:uid="{D25ED156-FD90-47E5-8E7C-14BA2CE5A8F1}" name="Min_Days"/>
    <tableColumn id="2" xr3:uid="{CEFE1FBE-0A02-4B84-884B-2B3770A95DC3}" name="Max_Days"/>
    <tableColumn id="3" xr3:uid="{5033205A-45AE-457A-8ED7-FF7033A7820C}" name="Health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B9B8-ADED-468E-ACB3-23DE2184EAE5}">
  <dimension ref="A1:W26"/>
  <sheetViews>
    <sheetView topLeftCell="D1" workbookViewId="0">
      <selection activeCell="W11" sqref="W11"/>
    </sheetView>
  </sheetViews>
  <sheetFormatPr defaultRowHeight="15" x14ac:dyDescent="0.25"/>
  <cols>
    <col min="1" max="1" width="9.85546875" customWidth="1"/>
    <col min="2" max="2" width="17.42578125" customWidth="1"/>
    <col min="3" max="3" width="14.42578125" customWidth="1"/>
    <col min="4" max="4" width="13.28515625" customWidth="1"/>
    <col min="5" max="5" width="10.85546875" customWidth="1"/>
    <col min="6" max="6" width="18.42578125" customWidth="1"/>
    <col min="7" max="7" width="12.140625" customWidth="1"/>
    <col min="8" max="8" width="17.5703125" customWidth="1"/>
    <col min="9" max="9" width="11.140625" customWidth="1"/>
    <col min="10" max="10" width="14.28515625" customWidth="1"/>
    <col min="11" max="11" width="11.42578125" bestFit="1" customWidth="1"/>
    <col min="12" max="12" width="14.7109375" customWidth="1"/>
    <col min="13" max="13" width="18.85546875" customWidth="1"/>
    <col min="14" max="14" width="13.42578125" customWidth="1"/>
    <col min="15" max="15" width="22.5703125" bestFit="1" customWidth="1"/>
    <col min="16" max="16" width="10.7109375" bestFit="1" customWidth="1"/>
    <col min="17" max="17" width="15.42578125" bestFit="1" customWidth="1"/>
    <col min="18" max="18" width="19.28515625" bestFit="1" customWidth="1"/>
    <col min="19" max="19" width="18.42578125" bestFit="1" customWidth="1"/>
    <col min="20" max="20" width="22" bestFit="1" customWidth="1"/>
    <col min="21" max="21" width="19.7109375" bestFit="1" customWidth="1"/>
    <col min="22" max="22" width="20.7109375" bestFit="1" customWidth="1"/>
    <col min="23" max="23" width="14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90</v>
      </c>
      <c r="P1" t="s">
        <v>91</v>
      </c>
      <c r="Q1" t="s">
        <v>92</v>
      </c>
      <c r="R1" t="s">
        <v>93</v>
      </c>
      <c r="S1" t="s">
        <v>76</v>
      </c>
      <c r="T1" t="s">
        <v>114</v>
      </c>
      <c r="U1" t="s">
        <v>120</v>
      </c>
      <c r="V1" t="s">
        <v>121</v>
      </c>
      <c r="W1" t="s">
        <v>124</v>
      </c>
    </row>
    <row r="2" spans="1:23" x14ac:dyDescent="0.25">
      <c r="A2">
        <v>1</v>
      </c>
      <c r="B2" t="s">
        <v>14</v>
      </c>
      <c r="C2" s="1">
        <v>45301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50</v>
      </c>
      <c r="J2">
        <v>45</v>
      </c>
      <c r="K2">
        <v>0.1</v>
      </c>
      <c r="L2" t="s">
        <v>20</v>
      </c>
      <c r="M2">
        <v>12</v>
      </c>
      <c r="N2" t="s">
        <v>21</v>
      </c>
      <c r="O2">
        <f>Subscriptions[[#This Row],[Licenses]]*Subscriptions[[#This Row],[License_Fee]]</f>
        <v>2250</v>
      </c>
      <c r="P2">
        <f>Subscriptions[[#This Row],[Contract Gross Value]]*(1-Subscriptions[[#This Row],[Discount]])</f>
        <v>2025</v>
      </c>
      <c r="Q2" t="str" cm="1">
        <f t="array" ref="Q2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2" s="2" t="str">
        <f>IF(OR(Subscriptions[[#This Row],[Onboarding_Days]]&gt;30, AND(Subscriptions[[#This Row],[Churn_Risk]] = "Yes",Subscriptions[[#This Row],[Net ARR]]&gt;1500)),"Immediate Review","Healthy")</f>
        <v>Healthy</v>
      </c>
      <c r="S2" s="2" t="str">
        <f>_xlfn.XLOOKUP(Subscriptions[[#This Row],[Account_Exec_ID]],AE_Lookup[Account_Exec_ID],AE_Lookup[Executive_Name])</f>
        <v>Marcus Lindqvist</v>
      </c>
      <c r="T2" s="2">
        <f>Subscriptions[[#This Row],[Net ARR]]*INDEX(AE_Lookup[Commission_Rate],MATCH(Subscriptions[[#This Row],[Account_Exec_ID]],AE_Lookup[Account_Exec_ID]))</f>
        <v>141.75</v>
      </c>
      <c r="U2" s="2" t="str">
        <f>_xlfn.XLOOKUP(Subscriptions[[#This Row],[Onboarding_Days]], Onboarding_Tier[Min_Days], Onboarding_Tier[Health_Status], "Unknown",-1 )</f>
        <v>Acceptable</v>
      </c>
      <c r="V2" s="2" t="str">
        <f>VLOOKUP(Subscriptions[[#This Row],[Onboarding_Days]],Onboarding_Tier[#All],3,TRUE)</f>
        <v>Acceptable</v>
      </c>
      <c r="W2" s="2" t="str">
        <f>_xlfn.TEXTAFTER(Subscriptions[[#This Row],[Subscription_ID]],"-")</f>
        <v>801</v>
      </c>
    </row>
    <row r="3" spans="1:23" x14ac:dyDescent="0.25">
      <c r="A3">
        <v>2</v>
      </c>
      <c r="B3" t="s">
        <v>22</v>
      </c>
      <c r="C3" s="1">
        <v>45309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15</v>
      </c>
      <c r="J3">
        <v>30</v>
      </c>
      <c r="K3">
        <v>0</v>
      </c>
      <c r="L3" t="s">
        <v>28</v>
      </c>
      <c r="M3">
        <v>25</v>
      </c>
      <c r="N3" t="s">
        <v>21</v>
      </c>
      <c r="O3">
        <f>Subscriptions[[#This Row],[Licenses]]*Subscriptions[[#This Row],[License_Fee]]</f>
        <v>450</v>
      </c>
      <c r="P3">
        <f>Subscriptions[[#This Row],[Contract Gross Value]]*(1-Subscriptions[[#This Row],[Discount]])</f>
        <v>450</v>
      </c>
      <c r="Q3" t="str" cm="1">
        <f t="array" ref="Q3">_xlfn.IFS(Subscriptions[[#This Row],[Discount]]&gt;=0.15,"Strategic",AND(Subscriptions[[#This Row],[Discount]]&lt;0.15, Subscriptions[[#This Row],[Discount]]&gt;=0.05),"Standard",Subscriptions[[#This Row],[Discount]]=0,"List Price")</f>
        <v>List Price</v>
      </c>
      <c r="R3" s="2" t="str">
        <f>IF(OR(Subscriptions[[#This Row],[Onboarding_Days]]&gt;30, AND(Subscriptions[[#This Row],[Churn_Risk]] = "Yes",Subscriptions[[#This Row],[Net ARR]]&gt;1500)),"Immediate Review","Healthy")</f>
        <v>Healthy</v>
      </c>
      <c r="S3" s="2" t="str">
        <f>_xlfn.XLOOKUP(Subscriptions[[#This Row],[Account_Exec_ID]],AE_Lookup[Account_Exec_ID],AE_Lookup[Executive_Name])</f>
        <v>Kenji Sato</v>
      </c>
      <c r="T3" s="2">
        <f>Subscriptions[[#This Row],[Net ARR]]*INDEX(AE_Lookup[Commission_Rate],MATCH(Subscriptions[[#This Row],[Account_Exec_ID]],AE_Lookup[Account_Exec_ID]))</f>
        <v>36</v>
      </c>
      <c r="U3" s="2" t="str">
        <f>_xlfn.XLOOKUP(Subscriptions[[#This Row],[Onboarding_Days]], Onboarding_Tier[Min_Days], Onboarding_Tier[Health_Status], "Unknown",-1 )</f>
        <v>Acceptable</v>
      </c>
      <c r="V3" s="2" t="str">
        <f>VLOOKUP(Subscriptions[[#This Row],[Onboarding_Days]],Onboarding_Tier[#All],3,TRUE)</f>
        <v>Acceptable</v>
      </c>
      <c r="W3" s="2" t="str">
        <f>_xlfn.TEXTAFTER(Subscriptions[[#This Row],[Subscription_ID]],"-")</f>
        <v>802</v>
      </c>
    </row>
    <row r="4" spans="1:23" x14ac:dyDescent="0.25">
      <c r="A4">
        <v>3</v>
      </c>
      <c r="B4" t="s">
        <v>29</v>
      </c>
      <c r="C4" s="1">
        <v>45313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>
        <v>5</v>
      </c>
      <c r="J4">
        <v>15</v>
      </c>
      <c r="K4">
        <v>0</v>
      </c>
      <c r="L4" t="s">
        <v>20</v>
      </c>
      <c r="M4">
        <v>5</v>
      </c>
      <c r="N4" t="s">
        <v>21</v>
      </c>
      <c r="O4">
        <f>Subscriptions[[#This Row],[Licenses]]*Subscriptions[[#This Row],[License_Fee]]</f>
        <v>75</v>
      </c>
      <c r="P4">
        <f>Subscriptions[[#This Row],[Contract Gross Value]]*(1-Subscriptions[[#This Row],[Discount]])</f>
        <v>75</v>
      </c>
      <c r="Q4" t="str" cm="1">
        <f t="array" ref="Q4">_xlfn.IFS(Subscriptions[[#This Row],[Discount]]&gt;=0.15,"Strategic",AND(Subscriptions[[#This Row],[Discount]]&lt;0.15, Subscriptions[[#This Row],[Discount]]&gt;=0.05),"Standard",Subscriptions[[#This Row],[Discount]]=0,"List Price")</f>
        <v>List Price</v>
      </c>
      <c r="R4" s="2" t="str">
        <f>IF(OR(Subscriptions[[#This Row],[Onboarding_Days]]&gt;30, AND(Subscriptions[[#This Row],[Churn_Risk]] = "Yes",Subscriptions[[#This Row],[Net ARR]]&gt;1500)),"Immediate Review","Healthy")</f>
        <v>Healthy</v>
      </c>
      <c r="S4" s="2" t="str">
        <f>_xlfn.XLOOKUP(Subscriptions[[#This Row],[Account_Exec_ID]],AE_Lookup[Account_Exec_ID],AE_Lookup[Executive_Name])</f>
        <v>Sarah Jenkins</v>
      </c>
      <c r="T4" s="2">
        <f>Subscriptions[[#This Row],[Net ARR]]*INDEX(AE_Lookup[Commission_Rate],MATCH(Subscriptions[[#This Row],[Account_Exec_ID]],AE_Lookup[Account_Exec_ID]))</f>
        <v>6.75</v>
      </c>
      <c r="U4" s="2" t="str">
        <f>_xlfn.XLOOKUP(Subscriptions[[#This Row],[Onboarding_Days]], Onboarding_Tier[Min_Days], Onboarding_Tier[Health_Status], "Unknown",-1 )</f>
        <v>Optimal</v>
      </c>
      <c r="V4" s="2" t="str">
        <f>VLOOKUP(Subscriptions[[#This Row],[Onboarding_Days]],Onboarding_Tier[#All],3,TRUE)</f>
        <v>Optimal</v>
      </c>
      <c r="W4" s="2" t="str">
        <f>_xlfn.TEXTAFTER(Subscriptions[[#This Row],[Subscription_ID]],"-")</f>
        <v>803</v>
      </c>
    </row>
    <row r="5" spans="1:23" x14ac:dyDescent="0.25">
      <c r="A5">
        <v>4</v>
      </c>
      <c r="B5" t="s">
        <v>35</v>
      </c>
      <c r="C5" s="1">
        <v>45327</v>
      </c>
      <c r="D5" t="s">
        <v>36</v>
      </c>
      <c r="E5" t="s">
        <v>37</v>
      </c>
      <c r="F5" t="s">
        <v>38</v>
      </c>
      <c r="G5" t="s">
        <v>26</v>
      </c>
      <c r="H5" t="s">
        <v>19</v>
      </c>
      <c r="I5">
        <v>20</v>
      </c>
      <c r="J5">
        <v>32</v>
      </c>
      <c r="K5">
        <v>0.05</v>
      </c>
      <c r="L5" t="s">
        <v>28</v>
      </c>
      <c r="M5">
        <v>34</v>
      </c>
      <c r="N5" t="s">
        <v>39</v>
      </c>
      <c r="O5">
        <f>Subscriptions[[#This Row],[Licenses]]*Subscriptions[[#This Row],[License_Fee]]</f>
        <v>640</v>
      </c>
      <c r="P5">
        <f>Subscriptions[[#This Row],[Contract Gross Value]]*(1-Subscriptions[[#This Row],[Discount]])</f>
        <v>608</v>
      </c>
      <c r="Q5" t="str" cm="1">
        <f t="array" ref="Q5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5" s="2" t="str">
        <f>IF(OR(Subscriptions[[#This Row],[Onboarding_Days]]&gt;30, AND(Subscriptions[[#This Row],[Churn_Risk]] = "Yes",Subscriptions[[#This Row],[Net ARR]]&gt;1500)),"Immediate Review","Healthy")</f>
        <v>Immediate Review</v>
      </c>
      <c r="S5" s="2" t="str">
        <f>_xlfn.XLOOKUP(Subscriptions[[#This Row],[Account_Exec_ID]],AE_Lookup[Account_Exec_ID],AE_Lookup[Executive_Name])</f>
        <v>Camila Rocha</v>
      </c>
      <c r="T5" s="2">
        <f>Subscriptions[[#This Row],[Net ARR]]*INDEX(AE_Lookup[Commission_Rate],MATCH(Subscriptions[[#This Row],[Account_Exec_ID]],AE_Lookup[Account_Exec_ID]))</f>
        <v>60.800000000000004</v>
      </c>
      <c r="U5" s="2" t="str">
        <f>_xlfn.XLOOKUP(Subscriptions[[#This Row],[Onboarding_Days]], Onboarding_Tier[Min_Days], Onboarding_Tier[Health_Status], "Unknown",-1 )</f>
        <v>Escalated</v>
      </c>
      <c r="V5" s="2" t="str">
        <f>VLOOKUP(Subscriptions[[#This Row],[Onboarding_Days]],Onboarding_Tier[#All],3,TRUE)</f>
        <v>Escalated</v>
      </c>
      <c r="W5" s="2" t="str">
        <f>_xlfn.TEXTAFTER(Subscriptions[[#This Row],[Subscription_ID]],"-")</f>
        <v>804</v>
      </c>
    </row>
    <row r="6" spans="1:23" x14ac:dyDescent="0.25">
      <c r="A6">
        <v>5</v>
      </c>
      <c r="B6" t="s">
        <v>40</v>
      </c>
      <c r="C6" s="1">
        <v>45334</v>
      </c>
      <c r="D6" t="s">
        <v>15</v>
      </c>
      <c r="E6" t="s">
        <v>16</v>
      </c>
      <c r="F6" t="s">
        <v>17</v>
      </c>
      <c r="G6" t="s">
        <v>18</v>
      </c>
      <c r="H6" t="s">
        <v>41</v>
      </c>
      <c r="I6">
        <v>80</v>
      </c>
      <c r="J6">
        <v>42</v>
      </c>
      <c r="K6">
        <v>0.15</v>
      </c>
      <c r="L6" t="s">
        <v>20</v>
      </c>
      <c r="M6">
        <v>14</v>
      </c>
      <c r="N6" t="s">
        <v>21</v>
      </c>
      <c r="O6">
        <f>Subscriptions[[#This Row],[Licenses]]*Subscriptions[[#This Row],[License_Fee]]</f>
        <v>3360</v>
      </c>
      <c r="P6">
        <f>Subscriptions[[#This Row],[Contract Gross Value]]*(1-Subscriptions[[#This Row],[Discount]])</f>
        <v>2856</v>
      </c>
      <c r="Q6" t="str" cm="1">
        <f t="array" ref="Q6">_xlfn.IFS(Subscriptions[[#This Row],[Discount]]&gt;=0.15,"Strategic",AND(Subscriptions[[#This Row],[Discount]]&lt;0.15, Subscriptions[[#This Row],[Discount]]&gt;=0.05),"Standard",Subscriptions[[#This Row],[Discount]]=0,"List Price")</f>
        <v>Strategic</v>
      </c>
      <c r="R6" s="2" t="str">
        <f>IF(OR(Subscriptions[[#This Row],[Onboarding_Days]]&gt;30, AND(Subscriptions[[#This Row],[Churn_Risk]] = "Yes",Subscriptions[[#This Row],[Net ARR]]&gt;1500)),"Immediate Review","Healthy")</f>
        <v>Healthy</v>
      </c>
      <c r="S6" s="2" t="str">
        <f>_xlfn.XLOOKUP(Subscriptions[[#This Row],[Account_Exec_ID]],AE_Lookup[Account_Exec_ID],AE_Lookup[Executive_Name])</f>
        <v>Marcus Lindqvist</v>
      </c>
      <c r="T6" s="2">
        <f>Subscriptions[[#This Row],[Net ARR]]*INDEX(AE_Lookup[Commission_Rate],MATCH(Subscriptions[[#This Row],[Account_Exec_ID]],AE_Lookup[Account_Exec_ID]))</f>
        <v>199.92000000000002</v>
      </c>
      <c r="U6" s="2" t="str">
        <f>_xlfn.XLOOKUP(Subscriptions[[#This Row],[Onboarding_Days]], Onboarding_Tier[Min_Days], Onboarding_Tier[Health_Status], "Unknown",-1 )</f>
        <v>Acceptable</v>
      </c>
      <c r="V6" s="2" t="str">
        <f>VLOOKUP(Subscriptions[[#This Row],[Onboarding_Days]],Onboarding_Tier[#All],3,TRUE)</f>
        <v>Acceptable</v>
      </c>
      <c r="W6" s="2" t="str">
        <f>_xlfn.TEXTAFTER(Subscriptions[[#This Row],[Subscription_ID]],"-")</f>
        <v>805</v>
      </c>
    </row>
    <row r="7" spans="1:23" x14ac:dyDescent="0.25">
      <c r="A7">
        <v>6</v>
      </c>
      <c r="B7" t="s">
        <v>42</v>
      </c>
      <c r="C7" s="1">
        <v>45341</v>
      </c>
      <c r="D7" t="s">
        <v>43</v>
      </c>
      <c r="E7" t="s">
        <v>24</v>
      </c>
      <c r="F7" t="s">
        <v>25</v>
      </c>
      <c r="G7" t="s">
        <v>33</v>
      </c>
      <c r="H7" t="s">
        <v>34</v>
      </c>
      <c r="I7">
        <v>8</v>
      </c>
      <c r="J7">
        <v>16</v>
      </c>
      <c r="K7">
        <v>0</v>
      </c>
      <c r="L7" t="s">
        <v>28</v>
      </c>
      <c r="M7">
        <v>18</v>
      </c>
      <c r="N7" t="s">
        <v>21</v>
      </c>
      <c r="O7">
        <f>Subscriptions[[#This Row],[Licenses]]*Subscriptions[[#This Row],[License_Fee]]</f>
        <v>128</v>
      </c>
      <c r="P7">
        <f>Subscriptions[[#This Row],[Contract Gross Value]]*(1-Subscriptions[[#This Row],[Discount]])</f>
        <v>128</v>
      </c>
      <c r="Q7" t="str" cm="1">
        <f t="array" ref="Q7">_xlfn.IFS(Subscriptions[[#This Row],[Discount]]&gt;=0.15,"Strategic",AND(Subscriptions[[#This Row],[Discount]]&lt;0.15, Subscriptions[[#This Row],[Discount]]&gt;=0.05),"Standard",Subscriptions[[#This Row],[Discount]]=0,"List Price")</f>
        <v>List Price</v>
      </c>
      <c r="R7" s="2" t="str">
        <f>IF(OR(Subscriptions[[#This Row],[Onboarding_Days]]&gt;30, AND(Subscriptions[[#This Row],[Churn_Risk]] = "Yes",Subscriptions[[#This Row],[Net ARR]]&gt;1500)),"Immediate Review","Healthy")</f>
        <v>Healthy</v>
      </c>
      <c r="S7" s="2" t="str">
        <f>_xlfn.XLOOKUP(Subscriptions[[#This Row],[Account_Exec_ID]],AE_Lookup[Account_Exec_ID],AE_Lookup[Executive_Name])</f>
        <v>Kenji Sato</v>
      </c>
      <c r="T7" s="2">
        <f>Subscriptions[[#This Row],[Net ARR]]*INDEX(AE_Lookup[Commission_Rate],MATCH(Subscriptions[[#This Row],[Account_Exec_ID]],AE_Lookup[Account_Exec_ID]))</f>
        <v>10.24</v>
      </c>
      <c r="U7" s="2" t="str">
        <f>_xlfn.XLOOKUP(Subscriptions[[#This Row],[Onboarding_Days]], Onboarding_Tier[Min_Days], Onboarding_Tier[Health_Status], "Unknown",-1 )</f>
        <v>Acceptable</v>
      </c>
      <c r="V7" s="2" t="str">
        <f>VLOOKUP(Subscriptions[[#This Row],[Onboarding_Days]],Onboarding_Tier[#All],3,TRUE)</f>
        <v>Acceptable</v>
      </c>
      <c r="W7" s="2" t="str">
        <f>_xlfn.TEXTAFTER(Subscriptions[[#This Row],[Subscription_ID]],"-")</f>
        <v>806</v>
      </c>
    </row>
    <row r="8" spans="1:23" x14ac:dyDescent="0.25">
      <c r="A8">
        <v>7</v>
      </c>
      <c r="B8" t="s">
        <v>44</v>
      </c>
      <c r="C8" s="1">
        <v>45349</v>
      </c>
      <c r="D8" t="s">
        <v>45</v>
      </c>
      <c r="E8" t="s">
        <v>31</v>
      </c>
      <c r="F8" t="s">
        <v>32</v>
      </c>
      <c r="G8" t="s">
        <v>18</v>
      </c>
      <c r="H8" t="s">
        <v>27</v>
      </c>
      <c r="I8">
        <v>110</v>
      </c>
      <c r="J8">
        <v>40</v>
      </c>
      <c r="K8">
        <v>0.2</v>
      </c>
      <c r="L8" t="s">
        <v>20</v>
      </c>
      <c r="M8">
        <v>28</v>
      </c>
      <c r="N8" t="s">
        <v>21</v>
      </c>
      <c r="O8">
        <f>Subscriptions[[#This Row],[Licenses]]*Subscriptions[[#This Row],[License_Fee]]</f>
        <v>4400</v>
      </c>
      <c r="P8">
        <f>Subscriptions[[#This Row],[Contract Gross Value]]*(1-Subscriptions[[#This Row],[Discount]])</f>
        <v>3520</v>
      </c>
      <c r="Q8" t="str" cm="1">
        <f t="array" ref="Q8">_xlfn.IFS(Subscriptions[[#This Row],[Discount]]&gt;=0.15,"Strategic",AND(Subscriptions[[#This Row],[Discount]]&lt;0.15, Subscriptions[[#This Row],[Discount]]&gt;=0.05),"Standard",Subscriptions[[#This Row],[Discount]]=0,"List Price")</f>
        <v>Strategic</v>
      </c>
      <c r="R8" s="2" t="str">
        <f>IF(OR(Subscriptions[[#This Row],[Onboarding_Days]]&gt;30, AND(Subscriptions[[#This Row],[Churn_Risk]] = "Yes",Subscriptions[[#This Row],[Net ARR]]&gt;1500)),"Immediate Review","Healthy")</f>
        <v>Healthy</v>
      </c>
      <c r="S8" s="2" t="str">
        <f>_xlfn.XLOOKUP(Subscriptions[[#This Row],[Account_Exec_ID]],AE_Lookup[Account_Exec_ID],AE_Lookup[Executive_Name])</f>
        <v>Sarah Jenkins</v>
      </c>
      <c r="T8" s="2">
        <f>Subscriptions[[#This Row],[Net ARR]]*INDEX(AE_Lookup[Commission_Rate],MATCH(Subscriptions[[#This Row],[Account_Exec_ID]],AE_Lookup[Account_Exec_ID]))</f>
        <v>316.8</v>
      </c>
      <c r="U8" s="2" t="str">
        <f>_xlfn.XLOOKUP(Subscriptions[[#This Row],[Onboarding_Days]], Onboarding_Tier[Min_Days], Onboarding_Tier[Health_Status], "Unknown",-1 )</f>
        <v>Escalated</v>
      </c>
      <c r="V8" s="2" t="str">
        <f>VLOOKUP(Subscriptions[[#This Row],[Onboarding_Days]],Onboarding_Tier[#All],3,TRUE)</f>
        <v>Escalated</v>
      </c>
      <c r="W8" s="2" t="str">
        <f>_xlfn.TEXTAFTER(Subscriptions[[#This Row],[Subscription_ID]],"-")</f>
        <v>807</v>
      </c>
    </row>
    <row r="9" spans="1:23" x14ac:dyDescent="0.25">
      <c r="A9">
        <v>8</v>
      </c>
      <c r="B9" t="s">
        <v>46</v>
      </c>
      <c r="C9" s="1">
        <v>45355</v>
      </c>
      <c r="D9" t="s">
        <v>47</v>
      </c>
      <c r="E9" t="s">
        <v>16</v>
      </c>
      <c r="F9" t="s">
        <v>48</v>
      </c>
      <c r="G9" t="s">
        <v>26</v>
      </c>
      <c r="H9" t="s">
        <v>41</v>
      </c>
      <c r="I9">
        <v>25</v>
      </c>
      <c r="J9">
        <v>30</v>
      </c>
      <c r="K9">
        <v>0.05</v>
      </c>
      <c r="L9" t="s">
        <v>20</v>
      </c>
      <c r="M9">
        <v>9</v>
      </c>
      <c r="N9" t="s">
        <v>21</v>
      </c>
      <c r="O9">
        <f>Subscriptions[[#This Row],[Licenses]]*Subscriptions[[#This Row],[License_Fee]]</f>
        <v>750</v>
      </c>
      <c r="P9">
        <f>Subscriptions[[#This Row],[Contract Gross Value]]*(1-Subscriptions[[#This Row],[Discount]])</f>
        <v>712.5</v>
      </c>
      <c r="Q9" t="str" cm="1">
        <f t="array" ref="Q9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9" s="2" t="str">
        <f>IF(OR(Subscriptions[[#This Row],[Onboarding_Days]]&gt;30, AND(Subscriptions[[#This Row],[Churn_Risk]] = "Yes",Subscriptions[[#This Row],[Net ARR]]&gt;1500)),"Immediate Review","Healthy")</f>
        <v>Healthy</v>
      </c>
      <c r="S9" s="2" t="str">
        <f>_xlfn.XLOOKUP(Subscriptions[[#This Row],[Account_Exec_ID]],AE_Lookup[Account_Exec_ID],AE_Lookup[Executive_Name])</f>
        <v>Liam O'Connor</v>
      </c>
      <c r="T9" s="2">
        <f>Subscriptions[[#This Row],[Net ARR]]*INDEX(AE_Lookup[Commission_Rate],MATCH(Subscriptions[[#This Row],[Account_Exec_ID]],AE_Lookup[Account_Exec_ID]))</f>
        <v>49.875000000000007</v>
      </c>
      <c r="U9" s="2" t="str">
        <f>_xlfn.XLOOKUP(Subscriptions[[#This Row],[Onboarding_Days]], Onboarding_Tier[Min_Days], Onboarding_Tier[Health_Status], "Unknown",-1 )</f>
        <v>Optimal</v>
      </c>
      <c r="V9" s="2" t="str">
        <f>VLOOKUP(Subscriptions[[#This Row],[Onboarding_Days]],Onboarding_Tier[#All],3,TRUE)</f>
        <v>Optimal</v>
      </c>
      <c r="W9" s="2" t="str">
        <f>_xlfn.TEXTAFTER(Subscriptions[[#This Row],[Subscription_ID]],"-")</f>
        <v>808</v>
      </c>
    </row>
    <row r="10" spans="1:23" x14ac:dyDescent="0.25">
      <c r="A10">
        <v>9</v>
      </c>
      <c r="B10" t="s">
        <v>49</v>
      </c>
      <c r="C10" s="1">
        <v>45362</v>
      </c>
      <c r="D10" t="s">
        <v>50</v>
      </c>
      <c r="E10" t="s">
        <v>37</v>
      </c>
      <c r="F10" t="s">
        <v>38</v>
      </c>
      <c r="G10" t="s">
        <v>33</v>
      </c>
      <c r="H10" t="s">
        <v>34</v>
      </c>
      <c r="I10">
        <v>10</v>
      </c>
      <c r="J10">
        <v>14</v>
      </c>
      <c r="K10">
        <v>0</v>
      </c>
      <c r="L10" t="s">
        <v>28</v>
      </c>
      <c r="M10">
        <v>45</v>
      </c>
      <c r="N10" t="s">
        <v>39</v>
      </c>
      <c r="O10">
        <f>Subscriptions[[#This Row],[Licenses]]*Subscriptions[[#This Row],[License_Fee]]</f>
        <v>140</v>
      </c>
      <c r="P10">
        <f>Subscriptions[[#This Row],[Contract Gross Value]]*(1-Subscriptions[[#This Row],[Discount]])</f>
        <v>140</v>
      </c>
      <c r="Q10" t="str" cm="1">
        <f t="array" ref="Q10">_xlfn.IFS(Subscriptions[[#This Row],[Discount]]&gt;=0.15,"Strategic",AND(Subscriptions[[#This Row],[Discount]]&lt;0.15, Subscriptions[[#This Row],[Discount]]&gt;=0.05),"Standard",Subscriptions[[#This Row],[Discount]]=0,"List Price")</f>
        <v>List Price</v>
      </c>
      <c r="R10" s="2" t="str">
        <f>IF(OR(Subscriptions[[#This Row],[Onboarding_Days]]&gt;30, AND(Subscriptions[[#This Row],[Churn_Risk]] = "Yes",Subscriptions[[#This Row],[Net ARR]]&gt;1500)),"Immediate Review","Healthy")</f>
        <v>Immediate Review</v>
      </c>
      <c r="S10" s="2" t="str">
        <f>_xlfn.XLOOKUP(Subscriptions[[#This Row],[Account_Exec_ID]],AE_Lookup[Account_Exec_ID],AE_Lookup[Executive_Name])</f>
        <v>Camila Rocha</v>
      </c>
      <c r="T10" s="2">
        <f>Subscriptions[[#This Row],[Net ARR]]*INDEX(AE_Lookup[Commission_Rate],MATCH(Subscriptions[[#This Row],[Account_Exec_ID]],AE_Lookup[Account_Exec_ID]))</f>
        <v>14</v>
      </c>
      <c r="U10" s="2" t="str">
        <f>_xlfn.XLOOKUP(Subscriptions[[#This Row],[Onboarding_Days]], Onboarding_Tier[Min_Days], Onboarding_Tier[Health_Status], "Unknown",-1 )</f>
        <v>Escalated</v>
      </c>
      <c r="V10" s="2" t="str">
        <f>VLOOKUP(Subscriptions[[#This Row],[Onboarding_Days]],Onboarding_Tier[#All],3,TRUE)</f>
        <v>Escalated</v>
      </c>
      <c r="W10" s="2" t="str">
        <f>_xlfn.TEXTAFTER(Subscriptions[[#This Row],[Subscription_ID]],"-")</f>
        <v>809</v>
      </c>
    </row>
    <row r="11" spans="1:23" x14ac:dyDescent="0.25">
      <c r="A11">
        <v>10</v>
      </c>
      <c r="B11" t="s">
        <v>51</v>
      </c>
      <c r="C11" s="1">
        <v>45369</v>
      </c>
      <c r="D11" t="s">
        <v>23</v>
      </c>
      <c r="E11" t="s">
        <v>24</v>
      </c>
      <c r="F11" t="s">
        <v>25</v>
      </c>
      <c r="G11" t="s">
        <v>18</v>
      </c>
      <c r="H11" t="s">
        <v>19</v>
      </c>
      <c r="I11">
        <v>60</v>
      </c>
      <c r="J11">
        <v>44</v>
      </c>
      <c r="K11">
        <v>0.1</v>
      </c>
      <c r="L11" t="s">
        <v>20</v>
      </c>
      <c r="M11">
        <v>15</v>
      </c>
      <c r="N11" t="s">
        <v>21</v>
      </c>
      <c r="O11">
        <f>Subscriptions[[#This Row],[Licenses]]*Subscriptions[[#This Row],[License_Fee]]</f>
        <v>2640</v>
      </c>
      <c r="P11">
        <f>Subscriptions[[#This Row],[Contract Gross Value]]*(1-Subscriptions[[#This Row],[Discount]])</f>
        <v>2376</v>
      </c>
      <c r="Q11" t="str" cm="1">
        <f t="array" ref="Q11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11" s="2" t="str">
        <f>IF(OR(Subscriptions[[#This Row],[Onboarding_Days]]&gt;30, AND(Subscriptions[[#This Row],[Churn_Risk]] = "Yes",Subscriptions[[#This Row],[Net ARR]]&gt;1500)),"Immediate Review","Healthy")</f>
        <v>Healthy</v>
      </c>
      <c r="S11" s="2" t="str">
        <f>_xlfn.XLOOKUP(Subscriptions[[#This Row],[Account_Exec_ID]],AE_Lookup[Account_Exec_ID],AE_Lookup[Executive_Name])</f>
        <v>Kenji Sato</v>
      </c>
      <c r="T11" s="2">
        <f>Subscriptions[[#This Row],[Net ARR]]*INDEX(AE_Lookup[Commission_Rate],MATCH(Subscriptions[[#This Row],[Account_Exec_ID]],AE_Lookup[Account_Exec_ID]))</f>
        <v>190.08</v>
      </c>
      <c r="U11" s="2" t="str">
        <f>_xlfn.XLOOKUP(Subscriptions[[#This Row],[Onboarding_Days]], Onboarding_Tier[Min_Days], Onboarding_Tier[Health_Status], "Unknown",-1 )</f>
        <v>Acceptable</v>
      </c>
      <c r="V11" s="2" t="str">
        <f>VLOOKUP(Subscriptions[[#This Row],[Onboarding_Days]],Onboarding_Tier[#All],3,TRUE)</f>
        <v>Acceptable</v>
      </c>
      <c r="W11" s="2" t="str">
        <f>_xlfn.TEXTAFTER(Subscriptions[[#This Row],[Subscription_ID]],"-")</f>
        <v>810</v>
      </c>
    </row>
    <row r="12" spans="1:23" x14ac:dyDescent="0.25">
      <c r="A12">
        <v>11</v>
      </c>
      <c r="B12" t="s">
        <v>52</v>
      </c>
      <c r="C12" s="1">
        <v>45376</v>
      </c>
      <c r="D12" t="s">
        <v>53</v>
      </c>
      <c r="E12" t="s">
        <v>31</v>
      </c>
      <c r="F12" t="s">
        <v>32</v>
      </c>
      <c r="G12" t="s">
        <v>26</v>
      </c>
      <c r="H12" t="s">
        <v>27</v>
      </c>
      <c r="I12">
        <v>30</v>
      </c>
      <c r="J12">
        <v>30</v>
      </c>
      <c r="K12">
        <v>0.1</v>
      </c>
      <c r="L12" t="s">
        <v>28</v>
      </c>
      <c r="M12">
        <v>8</v>
      </c>
      <c r="N12" t="s">
        <v>21</v>
      </c>
      <c r="O12">
        <f>Subscriptions[[#This Row],[Licenses]]*Subscriptions[[#This Row],[License_Fee]]</f>
        <v>900</v>
      </c>
      <c r="P12">
        <f>Subscriptions[[#This Row],[Contract Gross Value]]*(1-Subscriptions[[#This Row],[Discount]])</f>
        <v>810</v>
      </c>
      <c r="Q12" t="str" cm="1">
        <f t="array" ref="Q12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12" s="2" t="str">
        <f>IF(OR(Subscriptions[[#This Row],[Onboarding_Days]]&gt;30, AND(Subscriptions[[#This Row],[Churn_Risk]] = "Yes",Subscriptions[[#This Row],[Net ARR]]&gt;1500)),"Immediate Review","Healthy")</f>
        <v>Healthy</v>
      </c>
      <c r="S12" s="2" t="str">
        <f>_xlfn.XLOOKUP(Subscriptions[[#This Row],[Account_Exec_ID]],AE_Lookup[Account_Exec_ID],AE_Lookup[Executive_Name])</f>
        <v>Sarah Jenkins</v>
      </c>
      <c r="T12" s="2">
        <f>Subscriptions[[#This Row],[Net ARR]]*INDEX(AE_Lookup[Commission_Rate],MATCH(Subscriptions[[#This Row],[Account_Exec_ID]],AE_Lookup[Account_Exec_ID]))</f>
        <v>72.899999999999991</v>
      </c>
      <c r="U12" s="2" t="str">
        <f>_xlfn.XLOOKUP(Subscriptions[[#This Row],[Onboarding_Days]], Onboarding_Tier[Min_Days], Onboarding_Tier[Health_Status], "Unknown",-1 )</f>
        <v>Optimal</v>
      </c>
      <c r="V12" s="2" t="str">
        <f>VLOOKUP(Subscriptions[[#This Row],[Onboarding_Days]],Onboarding_Tier[#All],3,TRUE)</f>
        <v>Optimal</v>
      </c>
      <c r="W12" s="2" t="str">
        <f>_xlfn.TEXTAFTER(Subscriptions[[#This Row],[Subscription_ID]],"-")</f>
        <v>811</v>
      </c>
    </row>
    <row r="13" spans="1:23" x14ac:dyDescent="0.25">
      <c r="A13">
        <v>12</v>
      </c>
      <c r="B13" t="s">
        <v>54</v>
      </c>
      <c r="C13" s="1">
        <v>45384</v>
      </c>
      <c r="D13" t="s">
        <v>55</v>
      </c>
      <c r="E13" t="s">
        <v>16</v>
      </c>
      <c r="F13" t="s">
        <v>17</v>
      </c>
      <c r="G13" t="s">
        <v>18</v>
      </c>
      <c r="H13" t="s">
        <v>41</v>
      </c>
      <c r="I13">
        <v>40</v>
      </c>
      <c r="J13">
        <v>45</v>
      </c>
      <c r="K13">
        <v>0.05</v>
      </c>
      <c r="L13" t="s">
        <v>20</v>
      </c>
      <c r="M13">
        <v>22</v>
      </c>
      <c r="N13" t="s">
        <v>21</v>
      </c>
      <c r="O13">
        <f>Subscriptions[[#This Row],[Licenses]]*Subscriptions[[#This Row],[License_Fee]]</f>
        <v>1800</v>
      </c>
      <c r="P13">
        <f>Subscriptions[[#This Row],[Contract Gross Value]]*(1-Subscriptions[[#This Row],[Discount]])</f>
        <v>1710</v>
      </c>
      <c r="Q13" t="str" cm="1">
        <f t="array" ref="Q13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13" s="2" t="str">
        <f>IF(OR(Subscriptions[[#This Row],[Onboarding_Days]]&gt;30, AND(Subscriptions[[#This Row],[Churn_Risk]] = "Yes",Subscriptions[[#This Row],[Net ARR]]&gt;1500)),"Immediate Review","Healthy")</f>
        <v>Healthy</v>
      </c>
      <c r="S13" s="2" t="str">
        <f>_xlfn.XLOOKUP(Subscriptions[[#This Row],[Account_Exec_ID]],AE_Lookup[Account_Exec_ID],AE_Lookup[Executive_Name])</f>
        <v>Marcus Lindqvist</v>
      </c>
      <c r="T13" s="2">
        <f>Subscriptions[[#This Row],[Net ARR]]*INDEX(AE_Lookup[Commission_Rate],MATCH(Subscriptions[[#This Row],[Account_Exec_ID]],AE_Lookup[Account_Exec_ID]))</f>
        <v>119.70000000000002</v>
      </c>
      <c r="U13" s="2" t="str">
        <f>_xlfn.XLOOKUP(Subscriptions[[#This Row],[Onboarding_Days]], Onboarding_Tier[Min_Days], Onboarding_Tier[Health_Status], "Unknown",-1 )</f>
        <v>Acceptable</v>
      </c>
      <c r="V13" s="2" t="str">
        <f>VLOOKUP(Subscriptions[[#This Row],[Onboarding_Days]],Onboarding_Tier[#All],3,TRUE)</f>
        <v>Acceptable</v>
      </c>
      <c r="W13" s="2" t="str">
        <f>_xlfn.TEXTAFTER(Subscriptions[[#This Row],[Subscription_ID]],"-")</f>
        <v>812</v>
      </c>
    </row>
    <row r="14" spans="1:23" x14ac:dyDescent="0.25">
      <c r="A14">
        <v>13</v>
      </c>
      <c r="B14" t="s">
        <v>56</v>
      </c>
      <c r="C14" s="1">
        <v>45392</v>
      </c>
      <c r="D14" t="s">
        <v>30</v>
      </c>
      <c r="E14" t="s">
        <v>31</v>
      </c>
      <c r="F14" t="s">
        <v>32</v>
      </c>
      <c r="G14" t="s">
        <v>26</v>
      </c>
      <c r="H14" t="s">
        <v>19</v>
      </c>
      <c r="I14">
        <v>18</v>
      </c>
      <c r="J14">
        <v>32</v>
      </c>
      <c r="K14">
        <v>0</v>
      </c>
      <c r="L14" t="s">
        <v>28</v>
      </c>
      <c r="M14">
        <v>16</v>
      </c>
      <c r="N14" t="s">
        <v>21</v>
      </c>
      <c r="O14">
        <f>Subscriptions[[#This Row],[Licenses]]*Subscriptions[[#This Row],[License_Fee]]</f>
        <v>576</v>
      </c>
      <c r="P14">
        <f>Subscriptions[[#This Row],[Contract Gross Value]]*(1-Subscriptions[[#This Row],[Discount]])</f>
        <v>576</v>
      </c>
      <c r="Q14" t="str" cm="1">
        <f t="array" ref="Q14">_xlfn.IFS(Subscriptions[[#This Row],[Discount]]&gt;=0.15,"Strategic",AND(Subscriptions[[#This Row],[Discount]]&lt;0.15, Subscriptions[[#This Row],[Discount]]&gt;=0.05),"Standard",Subscriptions[[#This Row],[Discount]]=0,"List Price")</f>
        <v>List Price</v>
      </c>
      <c r="R14" s="2" t="str">
        <f>IF(OR(Subscriptions[[#This Row],[Onboarding_Days]]&gt;30, AND(Subscriptions[[#This Row],[Churn_Risk]] = "Yes",Subscriptions[[#This Row],[Net ARR]]&gt;1500)),"Immediate Review","Healthy")</f>
        <v>Healthy</v>
      </c>
      <c r="S14" s="2" t="str">
        <f>_xlfn.XLOOKUP(Subscriptions[[#This Row],[Account_Exec_ID]],AE_Lookup[Account_Exec_ID],AE_Lookup[Executive_Name])</f>
        <v>Sarah Jenkins</v>
      </c>
      <c r="T14" s="2">
        <f>Subscriptions[[#This Row],[Net ARR]]*INDEX(AE_Lookup[Commission_Rate],MATCH(Subscriptions[[#This Row],[Account_Exec_ID]],AE_Lookup[Account_Exec_ID]))</f>
        <v>51.839999999999996</v>
      </c>
      <c r="U14" s="2" t="str">
        <f>_xlfn.XLOOKUP(Subscriptions[[#This Row],[Onboarding_Days]], Onboarding_Tier[Min_Days], Onboarding_Tier[Health_Status], "Unknown",-1 )</f>
        <v>Acceptable</v>
      </c>
      <c r="V14" s="2" t="str">
        <f>VLOOKUP(Subscriptions[[#This Row],[Onboarding_Days]],Onboarding_Tier[#All],3,TRUE)</f>
        <v>Acceptable</v>
      </c>
      <c r="W14" s="2" t="str">
        <f>_xlfn.TEXTAFTER(Subscriptions[[#This Row],[Subscription_ID]],"-")</f>
        <v>813</v>
      </c>
    </row>
    <row r="15" spans="1:23" x14ac:dyDescent="0.25">
      <c r="A15">
        <v>14</v>
      </c>
      <c r="B15" t="s">
        <v>57</v>
      </c>
      <c r="C15" s="1">
        <v>45399</v>
      </c>
      <c r="D15" t="s">
        <v>58</v>
      </c>
      <c r="E15" t="s">
        <v>24</v>
      </c>
      <c r="F15" t="s">
        <v>25</v>
      </c>
      <c r="G15" t="s">
        <v>33</v>
      </c>
      <c r="H15" t="s">
        <v>34</v>
      </c>
      <c r="I15">
        <v>6</v>
      </c>
      <c r="J15">
        <v>15</v>
      </c>
      <c r="K15">
        <v>0</v>
      </c>
      <c r="L15" t="s">
        <v>20</v>
      </c>
      <c r="M15">
        <v>4</v>
      </c>
      <c r="N15" t="s">
        <v>21</v>
      </c>
      <c r="O15">
        <f>Subscriptions[[#This Row],[Licenses]]*Subscriptions[[#This Row],[License_Fee]]</f>
        <v>90</v>
      </c>
      <c r="P15">
        <f>Subscriptions[[#This Row],[Contract Gross Value]]*(1-Subscriptions[[#This Row],[Discount]])</f>
        <v>90</v>
      </c>
      <c r="Q15" t="str" cm="1">
        <f t="array" ref="Q15">_xlfn.IFS(Subscriptions[[#This Row],[Discount]]&gt;=0.15,"Strategic",AND(Subscriptions[[#This Row],[Discount]]&lt;0.15, Subscriptions[[#This Row],[Discount]]&gt;=0.05),"Standard",Subscriptions[[#This Row],[Discount]]=0,"List Price")</f>
        <v>List Price</v>
      </c>
      <c r="R15" s="2" t="str">
        <f>IF(OR(Subscriptions[[#This Row],[Onboarding_Days]]&gt;30, AND(Subscriptions[[#This Row],[Churn_Risk]] = "Yes",Subscriptions[[#This Row],[Net ARR]]&gt;1500)),"Immediate Review","Healthy")</f>
        <v>Healthy</v>
      </c>
      <c r="S15" s="2" t="str">
        <f>_xlfn.XLOOKUP(Subscriptions[[#This Row],[Account_Exec_ID]],AE_Lookup[Account_Exec_ID],AE_Lookup[Executive_Name])</f>
        <v>Kenji Sato</v>
      </c>
      <c r="T15" s="2">
        <f>Subscriptions[[#This Row],[Net ARR]]*INDEX(AE_Lookup[Commission_Rate],MATCH(Subscriptions[[#This Row],[Account_Exec_ID]],AE_Lookup[Account_Exec_ID]))</f>
        <v>7.2</v>
      </c>
      <c r="U15" s="2" t="str">
        <f>_xlfn.XLOOKUP(Subscriptions[[#This Row],[Onboarding_Days]], Onboarding_Tier[Min_Days], Onboarding_Tier[Health_Status], "Unknown",-1 )</f>
        <v>Optimal</v>
      </c>
      <c r="V15" s="2" t="str">
        <f>VLOOKUP(Subscriptions[[#This Row],[Onboarding_Days]],Onboarding_Tier[#All],3,TRUE)</f>
        <v>Optimal</v>
      </c>
      <c r="W15" s="2" t="str">
        <f>_xlfn.TEXTAFTER(Subscriptions[[#This Row],[Subscription_ID]],"-")</f>
        <v>814</v>
      </c>
    </row>
    <row r="16" spans="1:23" x14ac:dyDescent="0.25">
      <c r="A16">
        <v>15</v>
      </c>
      <c r="B16" t="s">
        <v>59</v>
      </c>
      <c r="C16" s="1">
        <v>45405</v>
      </c>
      <c r="D16" t="s">
        <v>60</v>
      </c>
      <c r="E16" t="s">
        <v>37</v>
      </c>
      <c r="F16" t="s">
        <v>38</v>
      </c>
      <c r="G16" t="s">
        <v>18</v>
      </c>
      <c r="H16" t="s">
        <v>19</v>
      </c>
      <c r="I16">
        <v>75</v>
      </c>
      <c r="J16">
        <v>42</v>
      </c>
      <c r="K16">
        <v>0.15</v>
      </c>
      <c r="L16" t="s">
        <v>20</v>
      </c>
      <c r="M16">
        <v>50</v>
      </c>
      <c r="N16" t="s">
        <v>39</v>
      </c>
      <c r="O16">
        <f>Subscriptions[[#This Row],[Licenses]]*Subscriptions[[#This Row],[License_Fee]]</f>
        <v>3150</v>
      </c>
      <c r="P16">
        <f>Subscriptions[[#This Row],[Contract Gross Value]]*(1-Subscriptions[[#This Row],[Discount]])</f>
        <v>2677.5</v>
      </c>
      <c r="Q16" t="str" cm="1">
        <f t="array" ref="Q16">_xlfn.IFS(Subscriptions[[#This Row],[Discount]]&gt;=0.15,"Strategic",AND(Subscriptions[[#This Row],[Discount]]&lt;0.15, Subscriptions[[#This Row],[Discount]]&gt;=0.05),"Standard",Subscriptions[[#This Row],[Discount]]=0,"List Price")</f>
        <v>Strategic</v>
      </c>
      <c r="R16" s="2" t="str">
        <f>IF(OR(Subscriptions[[#This Row],[Onboarding_Days]]&gt;30, AND(Subscriptions[[#This Row],[Churn_Risk]] = "Yes",Subscriptions[[#This Row],[Net ARR]]&gt;1500)),"Immediate Review","Healthy")</f>
        <v>Immediate Review</v>
      </c>
      <c r="S16" s="2" t="str">
        <f>_xlfn.XLOOKUP(Subscriptions[[#This Row],[Account_Exec_ID]],AE_Lookup[Account_Exec_ID],AE_Lookup[Executive_Name])</f>
        <v>Camila Rocha</v>
      </c>
      <c r="T16" s="2">
        <f>Subscriptions[[#This Row],[Net ARR]]*INDEX(AE_Lookup[Commission_Rate],MATCH(Subscriptions[[#This Row],[Account_Exec_ID]],AE_Lookup[Account_Exec_ID]))</f>
        <v>267.75</v>
      </c>
      <c r="U16" s="2" t="str">
        <f>_xlfn.XLOOKUP(Subscriptions[[#This Row],[Onboarding_Days]], Onboarding_Tier[Min_Days], Onboarding_Tier[Health_Status], "Unknown",-1 )</f>
        <v>Escalated</v>
      </c>
      <c r="V16" s="2" t="str">
        <f>VLOOKUP(Subscriptions[[#This Row],[Onboarding_Days]],Onboarding_Tier[#All],3,TRUE)</f>
        <v>Escalated</v>
      </c>
      <c r="W16" s="2" t="str">
        <f>_xlfn.TEXTAFTER(Subscriptions[[#This Row],[Subscription_ID]],"-")</f>
        <v>815</v>
      </c>
    </row>
    <row r="17" spans="1:23" x14ac:dyDescent="0.25">
      <c r="A17">
        <v>16</v>
      </c>
      <c r="B17" t="s">
        <v>61</v>
      </c>
      <c r="C17" s="1">
        <v>45414</v>
      </c>
      <c r="D17" t="s">
        <v>62</v>
      </c>
      <c r="E17" t="s">
        <v>31</v>
      </c>
      <c r="F17" t="s">
        <v>32</v>
      </c>
      <c r="G17" t="s">
        <v>33</v>
      </c>
      <c r="H17" t="s">
        <v>34</v>
      </c>
      <c r="I17">
        <v>12</v>
      </c>
      <c r="J17">
        <v>15</v>
      </c>
      <c r="K17">
        <v>0.05</v>
      </c>
      <c r="L17" t="s">
        <v>28</v>
      </c>
      <c r="M17">
        <v>7</v>
      </c>
      <c r="N17" t="s">
        <v>21</v>
      </c>
      <c r="O17">
        <f>Subscriptions[[#This Row],[Licenses]]*Subscriptions[[#This Row],[License_Fee]]</f>
        <v>180</v>
      </c>
      <c r="P17">
        <f>Subscriptions[[#This Row],[Contract Gross Value]]*(1-Subscriptions[[#This Row],[Discount]])</f>
        <v>171</v>
      </c>
      <c r="Q17" t="str" cm="1">
        <f t="array" ref="Q17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17" s="2" t="str">
        <f>IF(OR(Subscriptions[[#This Row],[Onboarding_Days]]&gt;30, AND(Subscriptions[[#This Row],[Churn_Risk]] = "Yes",Subscriptions[[#This Row],[Net ARR]]&gt;1500)),"Immediate Review","Healthy")</f>
        <v>Healthy</v>
      </c>
      <c r="S17" s="2" t="str">
        <f>_xlfn.XLOOKUP(Subscriptions[[#This Row],[Account_Exec_ID]],AE_Lookup[Account_Exec_ID],AE_Lookup[Executive_Name])</f>
        <v>Sarah Jenkins</v>
      </c>
      <c r="T17" s="2">
        <f>Subscriptions[[#This Row],[Net ARR]]*INDEX(AE_Lookup[Commission_Rate],MATCH(Subscriptions[[#This Row],[Account_Exec_ID]],AE_Lookup[Account_Exec_ID]))</f>
        <v>15.389999999999999</v>
      </c>
      <c r="U17" s="2" t="str">
        <f>_xlfn.XLOOKUP(Subscriptions[[#This Row],[Onboarding_Days]], Onboarding_Tier[Min_Days], Onboarding_Tier[Health_Status], "Unknown",-1 )</f>
        <v>Optimal</v>
      </c>
      <c r="V17" s="2" t="str">
        <f>VLOOKUP(Subscriptions[[#This Row],[Onboarding_Days]],Onboarding_Tier[#All],3,TRUE)</f>
        <v>Optimal</v>
      </c>
      <c r="W17" s="2" t="str">
        <f>_xlfn.TEXTAFTER(Subscriptions[[#This Row],[Subscription_ID]],"-")</f>
        <v>816</v>
      </c>
    </row>
    <row r="18" spans="1:23" x14ac:dyDescent="0.25">
      <c r="A18">
        <v>17</v>
      </c>
      <c r="B18" t="s">
        <v>63</v>
      </c>
      <c r="C18" s="1">
        <v>45421</v>
      </c>
      <c r="D18" t="s">
        <v>43</v>
      </c>
      <c r="E18" t="s">
        <v>24</v>
      </c>
      <c r="F18" t="s">
        <v>25</v>
      </c>
      <c r="G18" t="s">
        <v>26</v>
      </c>
      <c r="H18" t="s">
        <v>27</v>
      </c>
      <c r="I18">
        <v>22</v>
      </c>
      <c r="J18">
        <v>30</v>
      </c>
      <c r="K18">
        <v>0</v>
      </c>
      <c r="L18" t="s">
        <v>20</v>
      </c>
      <c r="M18">
        <v>19</v>
      </c>
      <c r="N18" t="s">
        <v>21</v>
      </c>
      <c r="O18">
        <f>Subscriptions[[#This Row],[Licenses]]*Subscriptions[[#This Row],[License_Fee]]</f>
        <v>660</v>
      </c>
      <c r="P18">
        <f>Subscriptions[[#This Row],[Contract Gross Value]]*(1-Subscriptions[[#This Row],[Discount]])</f>
        <v>660</v>
      </c>
      <c r="Q18" t="str" cm="1">
        <f t="array" ref="Q18">_xlfn.IFS(Subscriptions[[#This Row],[Discount]]&gt;=0.15,"Strategic",AND(Subscriptions[[#This Row],[Discount]]&lt;0.15, Subscriptions[[#This Row],[Discount]]&gt;=0.05),"Standard",Subscriptions[[#This Row],[Discount]]=0,"List Price")</f>
        <v>List Price</v>
      </c>
      <c r="R18" s="2" t="str">
        <f>IF(OR(Subscriptions[[#This Row],[Onboarding_Days]]&gt;30, AND(Subscriptions[[#This Row],[Churn_Risk]] = "Yes",Subscriptions[[#This Row],[Net ARR]]&gt;1500)),"Immediate Review","Healthy")</f>
        <v>Healthy</v>
      </c>
      <c r="S18" s="2" t="str">
        <f>_xlfn.XLOOKUP(Subscriptions[[#This Row],[Account_Exec_ID]],AE_Lookup[Account_Exec_ID],AE_Lookup[Executive_Name])</f>
        <v>Kenji Sato</v>
      </c>
      <c r="T18" s="2">
        <f>Subscriptions[[#This Row],[Net ARR]]*INDEX(AE_Lookup[Commission_Rate],MATCH(Subscriptions[[#This Row],[Account_Exec_ID]],AE_Lookup[Account_Exec_ID]))</f>
        <v>52.800000000000004</v>
      </c>
      <c r="U18" s="2" t="str">
        <f>_xlfn.XLOOKUP(Subscriptions[[#This Row],[Onboarding_Days]], Onboarding_Tier[Min_Days], Onboarding_Tier[Health_Status], "Unknown",-1 )</f>
        <v>Acceptable</v>
      </c>
      <c r="V18" s="2" t="str">
        <f>VLOOKUP(Subscriptions[[#This Row],[Onboarding_Days]],Onboarding_Tier[#All],3,TRUE)</f>
        <v>Acceptable</v>
      </c>
      <c r="W18" s="2" t="str">
        <f>_xlfn.TEXTAFTER(Subscriptions[[#This Row],[Subscription_ID]],"-")</f>
        <v>817</v>
      </c>
    </row>
    <row r="19" spans="1:23" x14ac:dyDescent="0.25">
      <c r="A19">
        <v>18</v>
      </c>
      <c r="B19" t="s">
        <v>64</v>
      </c>
      <c r="C19" s="1">
        <v>45427</v>
      </c>
      <c r="D19" t="s">
        <v>65</v>
      </c>
      <c r="E19" t="s">
        <v>16</v>
      </c>
      <c r="F19" t="s">
        <v>48</v>
      </c>
      <c r="G19" t="s">
        <v>18</v>
      </c>
      <c r="H19" t="s">
        <v>41</v>
      </c>
      <c r="I19">
        <v>95</v>
      </c>
      <c r="J19">
        <v>40</v>
      </c>
      <c r="K19">
        <v>0.1</v>
      </c>
      <c r="L19" t="s">
        <v>20</v>
      </c>
      <c r="M19">
        <v>11</v>
      </c>
      <c r="N19" t="s">
        <v>21</v>
      </c>
      <c r="O19">
        <f>Subscriptions[[#This Row],[Licenses]]*Subscriptions[[#This Row],[License_Fee]]</f>
        <v>3800</v>
      </c>
      <c r="P19">
        <f>Subscriptions[[#This Row],[Contract Gross Value]]*(1-Subscriptions[[#This Row],[Discount]])</f>
        <v>3420</v>
      </c>
      <c r="Q19" t="str" cm="1">
        <f t="array" ref="Q19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19" s="2" t="str">
        <f>IF(OR(Subscriptions[[#This Row],[Onboarding_Days]]&gt;30, AND(Subscriptions[[#This Row],[Churn_Risk]] = "Yes",Subscriptions[[#This Row],[Net ARR]]&gt;1500)),"Immediate Review","Healthy")</f>
        <v>Healthy</v>
      </c>
      <c r="S19" s="2" t="str">
        <f>_xlfn.XLOOKUP(Subscriptions[[#This Row],[Account_Exec_ID]],AE_Lookup[Account_Exec_ID],AE_Lookup[Executive_Name])</f>
        <v>Liam O'Connor</v>
      </c>
      <c r="T19" s="2">
        <f>Subscriptions[[#This Row],[Net ARR]]*INDEX(AE_Lookup[Commission_Rate],MATCH(Subscriptions[[#This Row],[Account_Exec_ID]],AE_Lookup[Account_Exec_ID]))</f>
        <v>239.40000000000003</v>
      </c>
      <c r="U19" s="2" t="str">
        <f>_xlfn.XLOOKUP(Subscriptions[[#This Row],[Onboarding_Days]], Onboarding_Tier[Min_Days], Onboarding_Tier[Health_Status], "Unknown",-1 )</f>
        <v>Acceptable</v>
      </c>
      <c r="V19" s="2" t="str">
        <f>VLOOKUP(Subscriptions[[#This Row],[Onboarding_Days]],Onboarding_Tier[#All],3,TRUE)</f>
        <v>Acceptable</v>
      </c>
      <c r="W19" s="2" t="str">
        <f>_xlfn.TEXTAFTER(Subscriptions[[#This Row],[Subscription_ID]],"-")</f>
        <v>818</v>
      </c>
    </row>
    <row r="20" spans="1:23" x14ac:dyDescent="0.25">
      <c r="A20">
        <v>19</v>
      </c>
      <c r="B20" t="s">
        <v>66</v>
      </c>
      <c r="C20" s="1">
        <v>45434</v>
      </c>
      <c r="D20" t="s">
        <v>47</v>
      </c>
      <c r="E20" t="s">
        <v>16</v>
      </c>
      <c r="F20" t="s">
        <v>48</v>
      </c>
      <c r="G20" t="s">
        <v>33</v>
      </c>
      <c r="H20" t="s">
        <v>34</v>
      </c>
      <c r="I20">
        <v>7</v>
      </c>
      <c r="J20">
        <v>16</v>
      </c>
      <c r="K20">
        <v>0</v>
      </c>
      <c r="L20" t="s">
        <v>28</v>
      </c>
      <c r="M20">
        <v>6</v>
      </c>
      <c r="N20" t="s">
        <v>21</v>
      </c>
      <c r="O20">
        <f>Subscriptions[[#This Row],[Licenses]]*Subscriptions[[#This Row],[License_Fee]]</f>
        <v>112</v>
      </c>
      <c r="P20">
        <f>Subscriptions[[#This Row],[Contract Gross Value]]*(1-Subscriptions[[#This Row],[Discount]])</f>
        <v>112</v>
      </c>
      <c r="Q20" t="str" cm="1">
        <f t="array" ref="Q20">_xlfn.IFS(Subscriptions[[#This Row],[Discount]]&gt;=0.15,"Strategic",AND(Subscriptions[[#This Row],[Discount]]&lt;0.15, Subscriptions[[#This Row],[Discount]]&gt;=0.05),"Standard",Subscriptions[[#This Row],[Discount]]=0,"List Price")</f>
        <v>List Price</v>
      </c>
      <c r="R20" s="2" t="str">
        <f>IF(OR(Subscriptions[[#This Row],[Onboarding_Days]]&gt;30, AND(Subscriptions[[#This Row],[Churn_Risk]] = "Yes",Subscriptions[[#This Row],[Net ARR]]&gt;1500)),"Immediate Review","Healthy")</f>
        <v>Healthy</v>
      </c>
      <c r="S20" s="2" t="str">
        <f>_xlfn.XLOOKUP(Subscriptions[[#This Row],[Account_Exec_ID]],AE_Lookup[Account_Exec_ID],AE_Lookup[Executive_Name])</f>
        <v>Liam O'Connor</v>
      </c>
      <c r="T20" s="2">
        <f>Subscriptions[[#This Row],[Net ARR]]*INDEX(AE_Lookup[Commission_Rate],MATCH(Subscriptions[[#This Row],[Account_Exec_ID]],AE_Lookup[Account_Exec_ID]))</f>
        <v>7.8400000000000007</v>
      </c>
      <c r="U20" s="2" t="str">
        <f>_xlfn.XLOOKUP(Subscriptions[[#This Row],[Onboarding_Days]], Onboarding_Tier[Min_Days], Onboarding_Tier[Health_Status], "Unknown",-1 )</f>
        <v>Optimal</v>
      </c>
      <c r="V20" s="2" t="str">
        <f>VLOOKUP(Subscriptions[[#This Row],[Onboarding_Days]],Onboarding_Tier[#All],3,TRUE)</f>
        <v>Optimal</v>
      </c>
      <c r="W20" s="2" t="str">
        <f>_xlfn.TEXTAFTER(Subscriptions[[#This Row],[Subscription_ID]],"-")</f>
        <v>819</v>
      </c>
    </row>
    <row r="21" spans="1:23" x14ac:dyDescent="0.25">
      <c r="A21">
        <v>20</v>
      </c>
      <c r="B21" t="s">
        <v>67</v>
      </c>
      <c r="C21" s="1">
        <v>45444</v>
      </c>
      <c r="D21" t="s">
        <v>68</v>
      </c>
      <c r="E21" t="s">
        <v>37</v>
      </c>
      <c r="F21" t="s">
        <v>38</v>
      </c>
      <c r="G21" t="s">
        <v>26</v>
      </c>
      <c r="H21" t="s">
        <v>19</v>
      </c>
      <c r="I21">
        <v>35</v>
      </c>
      <c r="J21">
        <v>32</v>
      </c>
      <c r="K21">
        <v>0.1</v>
      </c>
      <c r="L21" t="s">
        <v>28</v>
      </c>
      <c r="M21">
        <v>38</v>
      </c>
      <c r="N21" t="s">
        <v>21</v>
      </c>
      <c r="O21">
        <f>Subscriptions[[#This Row],[Licenses]]*Subscriptions[[#This Row],[License_Fee]]</f>
        <v>1120</v>
      </c>
      <c r="P21">
        <f>Subscriptions[[#This Row],[Contract Gross Value]]*(1-Subscriptions[[#This Row],[Discount]])</f>
        <v>1008</v>
      </c>
      <c r="Q21" t="str" cm="1">
        <f t="array" ref="Q21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21" s="2" t="str">
        <f>IF(OR(Subscriptions[[#This Row],[Onboarding_Days]]&gt;30, AND(Subscriptions[[#This Row],[Churn_Risk]] = "Yes",Subscriptions[[#This Row],[Net ARR]]&gt;1500)),"Immediate Review","Healthy")</f>
        <v>Immediate Review</v>
      </c>
      <c r="S21" s="2" t="str">
        <f>_xlfn.XLOOKUP(Subscriptions[[#This Row],[Account_Exec_ID]],AE_Lookup[Account_Exec_ID],AE_Lookup[Executive_Name])</f>
        <v>Camila Rocha</v>
      </c>
      <c r="T21" s="2">
        <f>Subscriptions[[#This Row],[Net ARR]]*INDEX(AE_Lookup[Commission_Rate],MATCH(Subscriptions[[#This Row],[Account_Exec_ID]],AE_Lookup[Account_Exec_ID]))</f>
        <v>100.80000000000001</v>
      </c>
      <c r="U21" s="2" t="str">
        <f>_xlfn.XLOOKUP(Subscriptions[[#This Row],[Onboarding_Days]], Onboarding_Tier[Min_Days], Onboarding_Tier[Health_Status], "Unknown",-1 )</f>
        <v>Escalated</v>
      </c>
      <c r="V21" s="2" t="str">
        <f>VLOOKUP(Subscriptions[[#This Row],[Onboarding_Days]],Onboarding_Tier[#All],3,TRUE)</f>
        <v>Escalated</v>
      </c>
      <c r="W21" s="2" t="str">
        <f>_xlfn.TEXTAFTER(Subscriptions[[#This Row],[Subscription_ID]],"-")</f>
        <v>820</v>
      </c>
    </row>
    <row r="22" spans="1:23" x14ac:dyDescent="0.25">
      <c r="A22">
        <v>21</v>
      </c>
      <c r="B22" t="s">
        <v>69</v>
      </c>
      <c r="C22" s="1">
        <v>45451</v>
      </c>
      <c r="D22" t="s">
        <v>70</v>
      </c>
      <c r="E22" t="s">
        <v>31</v>
      </c>
      <c r="F22" t="s">
        <v>32</v>
      </c>
      <c r="G22" t="s">
        <v>18</v>
      </c>
      <c r="H22" t="s">
        <v>27</v>
      </c>
      <c r="I22">
        <v>120</v>
      </c>
      <c r="J22">
        <v>38</v>
      </c>
      <c r="K22">
        <v>0.2</v>
      </c>
      <c r="L22" t="s">
        <v>20</v>
      </c>
      <c r="M22">
        <v>21</v>
      </c>
      <c r="N22" t="s">
        <v>21</v>
      </c>
      <c r="O22">
        <f>Subscriptions[[#This Row],[Licenses]]*Subscriptions[[#This Row],[License_Fee]]</f>
        <v>4560</v>
      </c>
      <c r="P22">
        <f>Subscriptions[[#This Row],[Contract Gross Value]]*(1-Subscriptions[[#This Row],[Discount]])</f>
        <v>3648</v>
      </c>
      <c r="Q22" t="str" cm="1">
        <f t="array" ref="Q22">_xlfn.IFS(Subscriptions[[#This Row],[Discount]]&gt;=0.15,"Strategic",AND(Subscriptions[[#This Row],[Discount]]&lt;0.15, Subscriptions[[#This Row],[Discount]]&gt;=0.05),"Standard",Subscriptions[[#This Row],[Discount]]=0,"List Price")</f>
        <v>Strategic</v>
      </c>
      <c r="R22" s="2" t="str">
        <f>IF(OR(Subscriptions[[#This Row],[Onboarding_Days]]&gt;30, AND(Subscriptions[[#This Row],[Churn_Risk]] = "Yes",Subscriptions[[#This Row],[Net ARR]]&gt;1500)),"Immediate Review","Healthy")</f>
        <v>Healthy</v>
      </c>
      <c r="S22" s="2" t="str">
        <f>_xlfn.XLOOKUP(Subscriptions[[#This Row],[Account_Exec_ID]],AE_Lookup[Account_Exec_ID],AE_Lookup[Executive_Name])</f>
        <v>Sarah Jenkins</v>
      </c>
      <c r="T22" s="2">
        <f>Subscriptions[[#This Row],[Net ARR]]*INDEX(AE_Lookup[Commission_Rate],MATCH(Subscriptions[[#This Row],[Account_Exec_ID]],AE_Lookup[Account_Exec_ID]))</f>
        <v>328.32</v>
      </c>
      <c r="U22" s="2" t="str">
        <f>_xlfn.XLOOKUP(Subscriptions[[#This Row],[Onboarding_Days]], Onboarding_Tier[Min_Days], Onboarding_Tier[Health_Status], "Unknown",-1 )</f>
        <v>Acceptable</v>
      </c>
      <c r="V22" s="2" t="str">
        <f>VLOOKUP(Subscriptions[[#This Row],[Onboarding_Days]],Onboarding_Tier[#All],3,TRUE)</f>
        <v>Acceptable</v>
      </c>
      <c r="W22" s="2" t="str">
        <f>_xlfn.TEXTAFTER(Subscriptions[[#This Row],[Subscription_ID]],"-")</f>
        <v>821</v>
      </c>
    </row>
    <row r="23" spans="1:23" x14ac:dyDescent="0.25">
      <c r="A23">
        <v>22</v>
      </c>
      <c r="B23" t="s">
        <v>71</v>
      </c>
      <c r="C23" s="1">
        <v>45458</v>
      </c>
      <c r="D23" t="s">
        <v>15</v>
      </c>
      <c r="E23" t="s">
        <v>16</v>
      </c>
      <c r="F23" t="s">
        <v>17</v>
      </c>
      <c r="G23" t="s">
        <v>26</v>
      </c>
      <c r="H23" t="s">
        <v>41</v>
      </c>
      <c r="I23">
        <v>28</v>
      </c>
      <c r="J23">
        <v>30</v>
      </c>
      <c r="K23">
        <v>0.05</v>
      </c>
      <c r="L23" t="s">
        <v>20</v>
      </c>
      <c r="M23">
        <v>10</v>
      </c>
      <c r="N23" t="s">
        <v>21</v>
      </c>
      <c r="O23">
        <f>Subscriptions[[#This Row],[Licenses]]*Subscriptions[[#This Row],[License_Fee]]</f>
        <v>840</v>
      </c>
      <c r="P23">
        <f>Subscriptions[[#This Row],[Contract Gross Value]]*(1-Subscriptions[[#This Row],[Discount]])</f>
        <v>798</v>
      </c>
      <c r="Q23" t="str" cm="1">
        <f t="array" ref="Q23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23" s="2" t="str">
        <f>IF(OR(Subscriptions[[#This Row],[Onboarding_Days]]&gt;30, AND(Subscriptions[[#This Row],[Churn_Risk]] = "Yes",Subscriptions[[#This Row],[Net ARR]]&gt;1500)),"Immediate Review","Healthy")</f>
        <v>Healthy</v>
      </c>
      <c r="S23" s="2" t="str">
        <f>_xlfn.XLOOKUP(Subscriptions[[#This Row],[Account_Exec_ID]],AE_Lookup[Account_Exec_ID],AE_Lookup[Executive_Name])</f>
        <v>Marcus Lindqvist</v>
      </c>
      <c r="T23" s="2">
        <f>Subscriptions[[#This Row],[Net ARR]]*INDEX(AE_Lookup[Commission_Rate],MATCH(Subscriptions[[#This Row],[Account_Exec_ID]],AE_Lookup[Account_Exec_ID]))</f>
        <v>55.860000000000007</v>
      </c>
      <c r="U23" s="2" t="str">
        <f>_xlfn.XLOOKUP(Subscriptions[[#This Row],[Onboarding_Days]], Onboarding_Tier[Min_Days], Onboarding_Tier[Health_Status], "Unknown",-1 )</f>
        <v>Optimal</v>
      </c>
      <c r="V23" s="2" t="str">
        <f>VLOOKUP(Subscriptions[[#This Row],[Onboarding_Days]],Onboarding_Tier[#All],3,TRUE)</f>
        <v>Optimal</v>
      </c>
      <c r="W23" s="2" t="str">
        <f>_xlfn.TEXTAFTER(Subscriptions[[#This Row],[Subscription_ID]],"-")</f>
        <v>822</v>
      </c>
    </row>
    <row r="24" spans="1:23" x14ac:dyDescent="0.25">
      <c r="A24">
        <v>23</v>
      </c>
      <c r="B24" t="s">
        <v>72</v>
      </c>
      <c r="C24" s="1">
        <v>45464</v>
      </c>
      <c r="D24" t="s">
        <v>53</v>
      </c>
      <c r="E24" t="s">
        <v>31</v>
      </c>
      <c r="F24" t="s">
        <v>32</v>
      </c>
      <c r="G24" t="s">
        <v>33</v>
      </c>
      <c r="H24" t="s">
        <v>34</v>
      </c>
      <c r="I24">
        <v>9</v>
      </c>
      <c r="J24">
        <v>15</v>
      </c>
      <c r="K24">
        <v>0</v>
      </c>
      <c r="L24" t="s">
        <v>28</v>
      </c>
      <c r="M24">
        <v>5</v>
      </c>
      <c r="N24" t="s">
        <v>21</v>
      </c>
      <c r="O24">
        <f>Subscriptions[[#This Row],[Licenses]]*Subscriptions[[#This Row],[License_Fee]]</f>
        <v>135</v>
      </c>
      <c r="P24">
        <f>Subscriptions[[#This Row],[Contract Gross Value]]*(1-Subscriptions[[#This Row],[Discount]])</f>
        <v>135</v>
      </c>
      <c r="Q24" t="str" cm="1">
        <f t="array" ref="Q24">_xlfn.IFS(Subscriptions[[#This Row],[Discount]]&gt;=0.15,"Strategic",AND(Subscriptions[[#This Row],[Discount]]&lt;0.15, Subscriptions[[#This Row],[Discount]]&gt;=0.05),"Standard",Subscriptions[[#This Row],[Discount]]=0,"List Price")</f>
        <v>List Price</v>
      </c>
      <c r="R24" s="2" t="str">
        <f>IF(OR(Subscriptions[[#This Row],[Onboarding_Days]]&gt;30, AND(Subscriptions[[#This Row],[Churn_Risk]] = "Yes",Subscriptions[[#This Row],[Net ARR]]&gt;1500)),"Immediate Review","Healthy")</f>
        <v>Healthy</v>
      </c>
      <c r="S24" s="2" t="str">
        <f>_xlfn.XLOOKUP(Subscriptions[[#This Row],[Account_Exec_ID]],AE_Lookup[Account_Exec_ID],AE_Lookup[Executive_Name])</f>
        <v>Sarah Jenkins</v>
      </c>
      <c r="T24" s="2">
        <f>Subscriptions[[#This Row],[Net ARR]]*INDEX(AE_Lookup[Commission_Rate],MATCH(Subscriptions[[#This Row],[Account_Exec_ID]],AE_Lookup[Account_Exec_ID]))</f>
        <v>12.15</v>
      </c>
      <c r="U24" s="2" t="str">
        <f>_xlfn.XLOOKUP(Subscriptions[[#This Row],[Onboarding_Days]], Onboarding_Tier[Min_Days], Onboarding_Tier[Health_Status], "Unknown",-1 )</f>
        <v>Optimal</v>
      </c>
      <c r="V24" s="2" t="str">
        <f>VLOOKUP(Subscriptions[[#This Row],[Onboarding_Days]],Onboarding_Tier[#All],3,TRUE)</f>
        <v>Optimal</v>
      </c>
      <c r="W24" s="2" t="str">
        <f>_xlfn.TEXTAFTER(Subscriptions[[#This Row],[Subscription_ID]],"-")</f>
        <v>823</v>
      </c>
    </row>
    <row r="25" spans="1:23" x14ac:dyDescent="0.25">
      <c r="A25">
        <v>24</v>
      </c>
      <c r="B25" t="s">
        <v>73</v>
      </c>
      <c r="C25" s="1">
        <v>45470</v>
      </c>
      <c r="D25" t="s">
        <v>74</v>
      </c>
      <c r="E25" t="s">
        <v>24</v>
      </c>
      <c r="F25" t="s">
        <v>25</v>
      </c>
      <c r="G25" t="s">
        <v>18</v>
      </c>
      <c r="H25" t="s">
        <v>19</v>
      </c>
      <c r="I25">
        <v>55</v>
      </c>
      <c r="J25">
        <v>45</v>
      </c>
      <c r="K25">
        <v>0.1</v>
      </c>
      <c r="L25" t="s">
        <v>20</v>
      </c>
      <c r="M25">
        <v>32</v>
      </c>
      <c r="N25" t="s">
        <v>39</v>
      </c>
      <c r="O25">
        <f>Subscriptions[[#This Row],[Licenses]]*Subscriptions[[#This Row],[License_Fee]]</f>
        <v>2475</v>
      </c>
      <c r="P25">
        <f>Subscriptions[[#This Row],[Contract Gross Value]]*(1-Subscriptions[[#This Row],[Discount]])</f>
        <v>2227.5</v>
      </c>
      <c r="Q25" t="str" cm="1">
        <f t="array" ref="Q25">_xlfn.IFS(Subscriptions[[#This Row],[Discount]]&gt;=0.15,"Strategic",AND(Subscriptions[[#This Row],[Discount]]&lt;0.15, Subscriptions[[#This Row],[Discount]]&gt;=0.05),"Standard",Subscriptions[[#This Row],[Discount]]=0,"List Price")</f>
        <v>Standard</v>
      </c>
      <c r="R25" s="2" t="str">
        <f>IF(OR(Subscriptions[[#This Row],[Onboarding_Days]]&gt;30, AND(Subscriptions[[#This Row],[Churn_Risk]] = "Yes",Subscriptions[[#This Row],[Net ARR]]&gt;1500)),"Immediate Review","Healthy")</f>
        <v>Immediate Review</v>
      </c>
      <c r="S25" s="2" t="str">
        <f>_xlfn.XLOOKUP(Subscriptions[[#This Row],[Account_Exec_ID]],AE_Lookup[Account_Exec_ID],AE_Lookup[Executive_Name])</f>
        <v>Kenji Sato</v>
      </c>
      <c r="T25" s="2">
        <f>Subscriptions[[#This Row],[Net ARR]]*INDEX(AE_Lookup[Commission_Rate],MATCH(Subscriptions[[#This Row],[Account_Exec_ID]],AE_Lookup[Account_Exec_ID]))</f>
        <v>178.20000000000002</v>
      </c>
      <c r="U25" s="2" t="str">
        <f>_xlfn.XLOOKUP(Subscriptions[[#This Row],[Onboarding_Days]], Onboarding_Tier[Min_Days], Onboarding_Tier[Health_Status], "Unknown",-1 )</f>
        <v>Escalated</v>
      </c>
      <c r="V25" s="2" t="str">
        <f>VLOOKUP(Subscriptions[[#This Row],[Onboarding_Days]],Onboarding_Tier[#All],3,TRUE)</f>
        <v>Escalated</v>
      </c>
      <c r="W25" s="2" t="str">
        <f>_xlfn.TEXTAFTER(Subscriptions[[#This Row],[Subscription_ID]],"-")</f>
        <v>824</v>
      </c>
    </row>
    <row r="26" spans="1:23" x14ac:dyDescent="0.25">
      <c r="A26">
        <v>25</v>
      </c>
      <c r="B26" t="s">
        <v>75</v>
      </c>
      <c r="C26" s="1">
        <v>45476</v>
      </c>
      <c r="D26" t="s">
        <v>55</v>
      </c>
      <c r="E26" t="s">
        <v>16</v>
      </c>
      <c r="F26" t="s">
        <v>17</v>
      </c>
      <c r="G26" t="s">
        <v>33</v>
      </c>
      <c r="H26" t="s">
        <v>34</v>
      </c>
      <c r="I26">
        <v>10</v>
      </c>
      <c r="J26">
        <v>15</v>
      </c>
      <c r="K26">
        <v>0</v>
      </c>
      <c r="L26" t="s">
        <v>20</v>
      </c>
      <c r="M26">
        <v>3</v>
      </c>
      <c r="N26" t="s">
        <v>21</v>
      </c>
      <c r="O26">
        <f>Subscriptions[[#This Row],[Licenses]]*Subscriptions[[#This Row],[License_Fee]]</f>
        <v>150</v>
      </c>
      <c r="P26">
        <f>Subscriptions[[#This Row],[Contract Gross Value]]*(1-Subscriptions[[#This Row],[Discount]])</f>
        <v>150</v>
      </c>
      <c r="Q26" t="str" cm="1">
        <f t="array" ref="Q26">_xlfn.IFS(Subscriptions[[#This Row],[Discount]]&gt;=0.15,"Strategic",AND(Subscriptions[[#This Row],[Discount]]&lt;0.15, Subscriptions[[#This Row],[Discount]]&gt;=0.05),"Standard",Subscriptions[[#This Row],[Discount]]=0,"List Price")</f>
        <v>List Price</v>
      </c>
      <c r="R26" s="2" t="str">
        <f>IF(OR(Subscriptions[[#This Row],[Onboarding_Days]]&gt;30, AND(Subscriptions[[#This Row],[Churn_Risk]] = "Yes",Subscriptions[[#This Row],[Net ARR]]&gt;1500)),"Immediate Review","Healthy")</f>
        <v>Healthy</v>
      </c>
      <c r="S26" s="2" t="str">
        <f>_xlfn.XLOOKUP(Subscriptions[[#This Row],[Account_Exec_ID]],AE_Lookup[Account_Exec_ID],AE_Lookup[Executive_Name])</f>
        <v>Marcus Lindqvist</v>
      </c>
      <c r="T26" s="2">
        <f>Subscriptions[[#This Row],[Net ARR]]*INDEX(AE_Lookup[Commission_Rate],MATCH(Subscriptions[[#This Row],[Account_Exec_ID]],AE_Lookup[Account_Exec_ID]))</f>
        <v>10.500000000000002</v>
      </c>
      <c r="U26" s="2" t="str">
        <f>_xlfn.XLOOKUP(Subscriptions[[#This Row],[Onboarding_Days]], Onboarding_Tier[Min_Days], Onboarding_Tier[Health_Status], "Unknown",-1 )</f>
        <v>Optimal</v>
      </c>
      <c r="V26" s="2" t="str">
        <f>VLOOKUP(Subscriptions[[#This Row],[Onboarding_Days]],Onboarding_Tier[#All],3,TRUE)</f>
        <v>Optimal</v>
      </c>
      <c r="W26" s="2" t="str">
        <f>_xlfn.TEXTAFTER(Subscriptions[[#This Row],[Subscription_ID]],"-")</f>
        <v>825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652C-2DB5-4456-BEC9-408EBC78AF0C}">
  <dimension ref="A1:D6"/>
  <sheetViews>
    <sheetView workbookViewId="0">
      <selection activeCell="E8" sqref="E8"/>
    </sheetView>
  </sheetViews>
  <sheetFormatPr defaultRowHeight="15" x14ac:dyDescent="0.25"/>
  <cols>
    <col min="1" max="1" width="18.42578125" customWidth="1"/>
    <col min="2" max="2" width="18.140625" customWidth="1"/>
    <col min="3" max="3" width="19.5703125" customWidth="1"/>
    <col min="4" max="4" width="15.7109375" customWidth="1"/>
  </cols>
  <sheetData>
    <row r="1" spans="1:4" x14ac:dyDescent="0.25">
      <c r="A1" t="s">
        <v>5</v>
      </c>
      <c r="B1" t="s">
        <v>76</v>
      </c>
      <c r="C1" t="s">
        <v>77</v>
      </c>
      <c r="D1" t="s">
        <v>78</v>
      </c>
    </row>
    <row r="2" spans="1:4" x14ac:dyDescent="0.25">
      <c r="A2" t="s">
        <v>17</v>
      </c>
      <c r="B2" t="s">
        <v>79</v>
      </c>
      <c r="C2">
        <v>7.0000000000000007E-2</v>
      </c>
      <c r="D2" t="s">
        <v>16</v>
      </c>
    </row>
    <row r="3" spans="1:4" x14ac:dyDescent="0.25">
      <c r="A3" t="s">
        <v>32</v>
      </c>
      <c r="B3" t="s">
        <v>80</v>
      </c>
      <c r="C3">
        <v>0.09</v>
      </c>
      <c r="D3" t="s">
        <v>31</v>
      </c>
    </row>
    <row r="4" spans="1:4" x14ac:dyDescent="0.25">
      <c r="A4" t="s">
        <v>25</v>
      </c>
      <c r="B4" t="s">
        <v>81</v>
      </c>
      <c r="C4">
        <v>0.08</v>
      </c>
      <c r="D4" t="s">
        <v>24</v>
      </c>
    </row>
    <row r="5" spans="1:4" x14ac:dyDescent="0.25">
      <c r="A5" t="s">
        <v>38</v>
      </c>
      <c r="B5" t="s">
        <v>82</v>
      </c>
      <c r="C5">
        <v>0.1</v>
      </c>
      <c r="D5" t="s">
        <v>37</v>
      </c>
    </row>
    <row r="6" spans="1:4" x14ac:dyDescent="0.25">
      <c r="A6" t="s">
        <v>48</v>
      </c>
      <c r="B6" t="s">
        <v>83</v>
      </c>
      <c r="C6">
        <v>7.0000000000000007E-2</v>
      </c>
      <c r="D6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91B6-26C3-438E-B221-F59AB3153EA5}">
  <dimension ref="A1:C4"/>
  <sheetViews>
    <sheetView workbookViewId="0">
      <selection activeCell="E9" sqref="E9"/>
    </sheetView>
  </sheetViews>
  <sheetFormatPr defaultRowHeight="15" x14ac:dyDescent="0.25"/>
  <cols>
    <col min="1" max="1" width="11.7109375" customWidth="1"/>
    <col min="2" max="2" width="12" customWidth="1"/>
    <col min="3" max="3" width="15.7109375" customWidth="1"/>
  </cols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>
        <v>1</v>
      </c>
      <c r="B2">
        <v>10</v>
      </c>
      <c r="C2" t="s">
        <v>87</v>
      </c>
    </row>
    <row r="3" spans="1:3" x14ac:dyDescent="0.25">
      <c r="A3">
        <v>11</v>
      </c>
      <c r="B3">
        <v>25</v>
      </c>
      <c r="C3" t="s">
        <v>88</v>
      </c>
    </row>
    <row r="4" spans="1:3" x14ac:dyDescent="0.25">
      <c r="A4">
        <v>26</v>
      </c>
      <c r="B4">
        <v>999</v>
      </c>
      <c r="C4" t="s">
        <v>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11A5-EC66-4290-9F56-3A3A62987E07}">
  <dimension ref="A1:C27"/>
  <sheetViews>
    <sheetView topLeftCell="A14" workbookViewId="0">
      <selection activeCell="C27" sqref="C27"/>
    </sheetView>
  </sheetViews>
  <sheetFormatPr defaultRowHeight="15" x14ac:dyDescent="0.25"/>
  <cols>
    <col min="1" max="1" width="40.28515625" bestFit="1" customWidth="1"/>
    <col min="2" max="2" width="12.85546875" bestFit="1" customWidth="1"/>
    <col min="3" max="3" width="11.42578125" bestFit="1" customWidth="1"/>
  </cols>
  <sheetData>
    <row r="1" spans="1:3" x14ac:dyDescent="0.25">
      <c r="A1" t="s">
        <v>95</v>
      </c>
    </row>
    <row r="3" spans="1:3" x14ac:dyDescent="0.25">
      <c r="A3" s="7" t="s">
        <v>4</v>
      </c>
      <c r="B3" s="7" t="s">
        <v>16</v>
      </c>
    </row>
    <row r="4" spans="1:3" x14ac:dyDescent="0.25">
      <c r="A4" s="7" t="s">
        <v>6</v>
      </c>
      <c r="B4" s="7" t="s">
        <v>18</v>
      </c>
    </row>
    <row r="5" spans="1:3" x14ac:dyDescent="0.25">
      <c r="A5" s="7" t="s">
        <v>13</v>
      </c>
      <c r="B5" s="7" t="s">
        <v>21</v>
      </c>
    </row>
    <row r="6" spans="1:3" x14ac:dyDescent="0.25">
      <c r="A6" s="3" t="s">
        <v>94</v>
      </c>
      <c r="B6" s="5">
        <f>SUMIFS(Subscriptions[Net ARR],Subscriptions[Territory],"EMEA",Subscriptions[Plan_Type],"Enterprise",Subscriptions[Churn_Risk],"No")</f>
        <v>10011</v>
      </c>
      <c r="C6" s="4" t="s">
        <v>99</v>
      </c>
    </row>
    <row r="7" spans="1:3" x14ac:dyDescent="0.25">
      <c r="A7" s="6"/>
      <c r="B7" s="6"/>
      <c r="C7" s="4"/>
    </row>
    <row r="8" spans="1:3" x14ac:dyDescent="0.25">
      <c r="A8" t="s">
        <v>96</v>
      </c>
    </row>
    <row r="9" spans="1:3" x14ac:dyDescent="0.25">
      <c r="A9" s="3" t="s">
        <v>97</v>
      </c>
      <c r="B9">
        <f>COUNTIFS(Subscriptions[Churn_Risk],"No",Subscriptions[Billing_Cycle],"Annual",Subscriptions[Discount],"&gt;0")</f>
        <v>9</v>
      </c>
      <c r="C9" s="4" t="s">
        <v>100</v>
      </c>
    </row>
    <row r="10" spans="1:3" x14ac:dyDescent="0.25">
      <c r="A10" s="6" t="s">
        <v>13</v>
      </c>
      <c r="B10" t="s">
        <v>21</v>
      </c>
      <c r="C10" s="4"/>
    </row>
    <row r="11" spans="1:3" x14ac:dyDescent="0.25">
      <c r="A11" s="6" t="s">
        <v>11</v>
      </c>
      <c r="B11" t="s">
        <v>20</v>
      </c>
      <c r="C11" s="4"/>
    </row>
    <row r="12" spans="1:3" x14ac:dyDescent="0.25">
      <c r="A12" s="6" t="s">
        <v>10</v>
      </c>
      <c r="B12" t="s">
        <v>105</v>
      </c>
      <c r="C12" s="4"/>
    </row>
    <row r="14" spans="1:3" x14ac:dyDescent="0.25">
      <c r="A14" t="s">
        <v>98</v>
      </c>
    </row>
    <row r="15" spans="1:3" x14ac:dyDescent="0.25">
      <c r="A15" s="3" t="s">
        <v>109</v>
      </c>
      <c r="B15" cm="1">
        <f t="array" ref="B15">AVERAGE(AVERAGEIFS(Subscriptions[License_Fee], Subscriptions[Plan_Type], "Professional", Subscriptions[Territory], {"APAC","LATAM"}))</f>
        <v>31</v>
      </c>
      <c r="C15" s="4" t="s">
        <v>101</v>
      </c>
    </row>
    <row r="16" spans="1:3" x14ac:dyDescent="0.25">
      <c r="A16" s="6" t="s">
        <v>6</v>
      </c>
      <c r="B16" t="s">
        <v>106</v>
      </c>
      <c r="C16" s="4"/>
    </row>
    <row r="17" spans="1:3" x14ac:dyDescent="0.25">
      <c r="A17" s="6" t="s">
        <v>4</v>
      </c>
      <c r="B17" t="s">
        <v>107</v>
      </c>
      <c r="C17" s="8" t="s">
        <v>37</v>
      </c>
    </row>
    <row r="19" spans="1:3" x14ac:dyDescent="0.25">
      <c r="A19" t="s">
        <v>102</v>
      </c>
    </row>
    <row r="20" spans="1:3" x14ac:dyDescent="0.25">
      <c r="A20" s="3" t="s">
        <v>108</v>
      </c>
      <c r="B20">
        <f>SUMIFS(Subscriptions[Licenses], Subscriptions[Signup_Date], "&gt;=2024-02-01", Subscriptions[Signup_Date], "&lt;=2024-05-31")</f>
        <v>618</v>
      </c>
      <c r="C20" s="4" t="s">
        <v>99</v>
      </c>
    </row>
    <row r="21" spans="1:3" x14ac:dyDescent="0.25">
      <c r="A21" s="6" t="s">
        <v>2</v>
      </c>
      <c r="B21" t="s">
        <v>110</v>
      </c>
      <c r="C21" s="4"/>
    </row>
    <row r="22" spans="1:3" x14ac:dyDescent="0.25">
      <c r="A22" s="6"/>
      <c r="B22" t="s">
        <v>111</v>
      </c>
      <c r="C22" s="4"/>
    </row>
    <row r="24" spans="1:3" x14ac:dyDescent="0.25">
      <c r="A24" t="s">
        <v>103</v>
      </c>
    </row>
    <row r="25" spans="1:3" x14ac:dyDescent="0.25">
      <c r="A25" s="3" t="s">
        <v>104</v>
      </c>
      <c r="B25">
        <f>COUNTIFS(Subscriptions[Licenses],"&gt;30",Subscriptions[Onboarding_Days],"&gt;=20")</f>
        <v>6</v>
      </c>
    </row>
    <row r="26" spans="1:3" x14ac:dyDescent="0.25">
      <c r="A26" t="s">
        <v>8</v>
      </c>
      <c r="B26" t="s">
        <v>112</v>
      </c>
    </row>
    <row r="27" spans="1:3" x14ac:dyDescent="0.25">
      <c r="A27" t="s">
        <v>12</v>
      </c>
      <c r="B27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F99D-6421-4867-80EF-39DF0A4A11CF}">
  <dimension ref="A2:C12"/>
  <sheetViews>
    <sheetView workbookViewId="0">
      <selection activeCell="B15" sqref="B15"/>
    </sheetView>
  </sheetViews>
  <sheetFormatPr defaultRowHeight="15" x14ac:dyDescent="0.25"/>
  <cols>
    <col min="1" max="1" width="22.140625" bestFit="1" customWidth="1"/>
    <col min="2" max="2" width="19.28515625" bestFit="1" customWidth="1"/>
    <col min="3" max="3" width="13.42578125" bestFit="1" customWidth="1"/>
  </cols>
  <sheetData>
    <row r="2" spans="1:3" x14ac:dyDescent="0.25">
      <c r="A2" t="s">
        <v>116</v>
      </c>
    </row>
    <row r="3" spans="1:3" x14ac:dyDescent="0.25">
      <c r="A3" s="9" t="s">
        <v>115</v>
      </c>
    </row>
    <row r="4" spans="1:3" x14ac:dyDescent="0.25">
      <c r="A4" t="s">
        <v>117</v>
      </c>
      <c r="B4" t="s">
        <v>68</v>
      </c>
    </row>
    <row r="6" spans="1:3" x14ac:dyDescent="0.25">
      <c r="A6" s="3" t="s">
        <v>1</v>
      </c>
      <c r="B6" s="3" t="str">
        <f>_xlfn.XLOOKUP(B4,Subscriptions[Account_ID],Subscriptions[Subscription_ID])</f>
        <v>SUB-820</v>
      </c>
      <c r="C6" s="10" t="s">
        <v>118</v>
      </c>
    </row>
    <row r="7" spans="1:3" x14ac:dyDescent="0.25">
      <c r="B7" t="str">
        <f>INDEX(Subscriptions[Subscription_ID],MATCH(B4,Subscriptions[Account_ID],0))</f>
        <v>SUB-820</v>
      </c>
      <c r="C7" s="10" t="s">
        <v>119</v>
      </c>
    </row>
    <row r="9" spans="1:3" x14ac:dyDescent="0.25">
      <c r="A9" t="s">
        <v>98</v>
      </c>
    </row>
    <row r="10" spans="1:3" x14ac:dyDescent="0.25">
      <c r="A10" t="s">
        <v>123</v>
      </c>
    </row>
    <row r="12" spans="1:3" x14ac:dyDescent="0.25">
      <c r="A12" s="3" t="s">
        <v>122</v>
      </c>
      <c r="B12" t="str">
        <f>_xlfn.XLOOKUP(A12,AE_Lookup[Account_Exec_ID],AE_Lookup[Executive_Name],"Unassigned Account")</f>
        <v>Unassigned Account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66A9-64F7-4AE7-B738-57816E0DB39A}">
  <dimension ref="A1:W24"/>
  <sheetViews>
    <sheetView tabSelected="1" workbookViewId="0">
      <selection activeCell="D18" sqref="D18"/>
    </sheetView>
  </sheetViews>
  <sheetFormatPr defaultRowHeight="15" x14ac:dyDescent="0.25"/>
  <cols>
    <col min="1" max="1" width="11.28515625" bestFit="1" customWidth="1"/>
    <col min="2" max="2" width="15" bestFit="1" customWidth="1"/>
    <col min="4" max="4" width="10.85546875" bestFit="1" customWidth="1"/>
  </cols>
  <sheetData>
    <row r="1" spans="1:23" x14ac:dyDescent="0.25">
      <c r="A1" t="s">
        <v>96</v>
      </c>
    </row>
    <row r="2" spans="1:23" x14ac:dyDescent="0.25">
      <c r="A2" s="12" t="s">
        <v>125</v>
      </c>
      <c r="B2" s="12"/>
      <c r="C2" s="12"/>
    </row>
    <row r="3" spans="1:23" x14ac:dyDescent="0.25">
      <c r="A3" s="13" t="s">
        <v>4</v>
      </c>
      <c r="B3" s="14" t="s">
        <v>37</v>
      </c>
      <c r="C3" s="11"/>
    </row>
    <row r="4" spans="1:23" x14ac:dyDescent="0.25">
      <c r="A4" s="13" t="s">
        <v>126</v>
      </c>
      <c r="B4" s="13" t="s">
        <v>39</v>
      </c>
    </row>
    <row r="6" spans="1:23" x14ac:dyDescent="0.25">
      <c r="A6" t="str" cm="1">
        <f t="array" ref="A6:W6">Subscriptions[#Headers]</f>
        <v>Row_ID</v>
      </c>
      <c r="B6" t="str">
        <v>Subscription_ID</v>
      </c>
      <c r="C6" t="str">
        <v>Signup_Date</v>
      </c>
      <c r="D6" t="str">
        <v>Account_ID</v>
      </c>
      <c r="E6" t="str">
        <v>Territory</v>
      </c>
      <c r="F6" t="str">
        <v>Account_Exec_ID</v>
      </c>
      <c r="G6" t="str">
        <v>Plan_Type</v>
      </c>
      <c r="H6" t="str">
        <v>Add_On_Module</v>
      </c>
      <c r="I6" t="str">
        <v>Licenses</v>
      </c>
      <c r="J6" t="str">
        <v>License_Fee</v>
      </c>
      <c r="K6" t="str">
        <v>Discount</v>
      </c>
      <c r="L6" t="str">
        <v>Billing_Cycle</v>
      </c>
      <c r="M6" t="str">
        <v>Onboarding_Days</v>
      </c>
      <c r="N6" t="str">
        <v>Churn_Risk</v>
      </c>
      <c r="O6" t="str">
        <v>Contract Gross Value</v>
      </c>
      <c r="P6" t="str">
        <v>Net ARR</v>
      </c>
      <c r="Q6" t="str">
        <v>Discount Tier</v>
      </c>
      <c r="R6" t="str">
        <v>Intervention Alert</v>
      </c>
      <c r="S6" t="str">
        <v>Executive_Name</v>
      </c>
      <c r="T6" t="str">
        <v>Commission_Payout</v>
      </c>
      <c r="U6" t="str">
        <v>Health_Status(XL)</v>
      </c>
      <c r="V6" t="str">
        <v>Health_Status(VL)</v>
      </c>
      <c r="W6" t="str">
        <v>ID Extraction</v>
      </c>
    </row>
    <row r="7" spans="1:23" x14ac:dyDescent="0.25">
      <c r="A7" cm="1">
        <f t="array" ref="A7:W9">_xlfn._xlws.FILTER(Subscriptions[], (Subscriptions[Territory] = "LATAM") * (Subscriptions[Churn_Risk] = "Yes"), "No Records Found")</f>
        <v>4</v>
      </c>
      <c r="B7" t="str">
        <v>SUB-804</v>
      </c>
      <c r="C7">
        <v>45327</v>
      </c>
      <c r="D7" t="str">
        <v>ACC-304</v>
      </c>
      <c r="E7" t="str">
        <v>LATAM</v>
      </c>
      <c r="F7" t="str">
        <v>AE-14</v>
      </c>
      <c r="G7" t="str">
        <v>Professional</v>
      </c>
      <c r="H7" t="str">
        <v>Security Pack</v>
      </c>
      <c r="I7">
        <v>20</v>
      </c>
      <c r="J7">
        <v>32</v>
      </c>
      <c r="K7">
        <v>0.05</v>
      </c>
      <c r="L7" t="str">
        <v>Monthly</v>
      </c>
      <c r="M7">
        <v>34</v>
      </c>
      <c r="N7" t="str">
        <v>Yes</v>
      </c>
      <c r="O7">
        <v>640</v>
      </c>
      <c r="P7">
        <v>608</v>
      </c>
      <c r="Q7" t="str">
        <v>Standard</v>
      </c>
      <c r="R7" t="str">
        <v>Immediate Review</v>
      </c>
      <c r="S7" t="str">
        <v>Camila Rocha</v>
      </c>
      <c r="T7">
        <v>60.800000000000004</v>
      </c>
      <c r="U7" t="str">
        <v>Escalated</v>
      </c>
      <c r="V7" t="str">
        <v>Escalated</v>
      </c>
      <c r="W7" t="str">
        <v>804</v>
      </c>
    </row>
    <row r="8" spans="1:23" x14ac:dyDescent="0.25">
      <c r="A8">
        <v>9</v>
      </c>
      <c r="B8" t="str">
        <v>SUB-809</v>
      </c>
      <c r="C8">
        <v>45362</v>
      </c>
      <c r="D8" t="str">
        <v>ACC-308</v>
      </c>
      <c r="E8" t="str">
        <v>LATAM</v>
      </c>
      <c r="F8" t="str">
        <v>AE-14</v>
      </c>
      <c r="G8" t="str">
        <v>Starter</v>
      </c>
      <c r="H8" t="str">
        <v>None</v>
      </c>
      <c r="I8">
        <v>10</v>
      </c>
      <c r="J8">
        <v>14</v>
      </c>
      <c r="K8">
        <v>0</v>
      </c>
      <c r="L8" t="str">
        <v>Monthly</v>
      </c>
      <c r="M8">
        <v>45</v>
      </c>
      <c r="N8" t="str">
        <v>Yes</v>
      </c>
      <c r="O8">
        <v>140</v>
      </c>
      <c r="P8">
        <v>140</v>
      </c>
      <c r="Q8" t="str">
        <v>List Price</v>
      </c>
      <c r="R8" t="str">
        <v>Immediate Review</v>
      </c>
      <c r="S8" t="str">
        <v>Camila Rocha</v>
      </c>
      <c r="T8">
        <v>14</v>
      </c>
      <c r="U8" t="str">
        <v>Escalated</v>
      </c>
      <c r="V8" t="str">
        <v>Escalated</v>
      </c>
      <c r="W8" t="str">
        <v>809</v>
      </c>
    </row>
    <row r="9" spans="1:23" x14ac:dyDescent="0.25">
      <c r="A9">
        <v>15</v>
      </c>
      <c r="B9" t="str">
        <v>SUB-815</v>
      </c>
      <c r="C9">
        <v>45405</v>
      </c>
      <c r="D9" t="str">
        <v>ACC-312</v>
      </c>
      <c r="E9" t="str">
        <v>LATAM</v>
      </c>
      <c r="F9" t="str">
        <v>AE-14</v>
      </c>
      <c r="G9" t="str">
        <v>Enterprise</v>
      </c>
      <c r="H9" t="str">
        <v>Security Pack</v>
      </c>
      <c r="I9">
        <v>75</v>
      </c>
      <c r="J9">
        <v>42</v>
      </c>
      <c r="K9">
        <v>0.15</v>
      </c>
      <c r="L9" t="str">
        <v>Annual</v>
      </c>
      <c r="M9">
        <v>50</v>
      </c>
      <c r="N9" t="str">
        <v>Yes</v>
      </c>
      <c r="O9">
        <v>3150</v>
      </c>
      <c r="P9">
        <v>2677.5</v>
      </c>
      <c r="Q9" t="str">
        <v>Strategic</v>
      </c>
      <c r="R9" t="str">
        <v>Immediate Review</v>
      </c>
      <c r="S9" t="str">
        <v>Camila Rocha</v>
      </c>
      <c r="T9">
        <v>267.75</v>
      </c>
      <c r="U9" t="str">
        <v>Escalated</v>
      </c>
      <c r="V9" t="str">
        <v>Escalated</v>
      </c>
      <c r="W9" t="str">
        <v>815</v>
      </c>
    </row>
    <row r="12" spans="1:23" x14ac:dyDescent="0.25">
      <c r="A12" t="s">
        <v>98</v>
      </c>
    </row>
    <row r="13" spans="1:23" x14ac:dyDescent="0.25">
      <c r="A13" t="s">
        <v>127</v>
      </c>
    </row>
    <row r="14" spans="1:23" x14ac:dyDescent="0.25">
      <c r="A14" s="13" t="s">
        <v>6</v>
      </c>
      <c r="B14" s="13" t="s">
        <v>18</v>
      </c>
    </row>
    <row r="15" spans="1:23" x14ac:dyDescent="0.25">
      <c r="A15" s="15"/>
      <c r="B15" s="15"/>
    </row>
    <row r="16" spans="1:23" x14ac:dyDescent="0.25">
      <c r="B16" t="s">
        <v>3</v>
      </c>
    </row>
    <row r="17" spans="2:2" x14ac:dyDescent="0.25">
      <c r="B17" t="str" cm="1">
        <f t="array" ref="B17:B24">_xlfn._xlws.SORT(_xlfn.UNIQUE(_xlfn._xlws.FILTER(Subscriptions[Account_ID], Subscriptions[Plan_Type] = "Enterprise")))</f>
        <v>ACC-301</v>
      </c>
    </row>
    <row r="18" spans="2:2" x14ac:dyDescent="0.25">
      <c r="B18" t="str">
        <v>ACC-302</v>
      </c>
    </row>
    <row r="19" spans="2:2" x14ac:dyDescent="0.25">
      <c r="B19" t="str">
        <v>ACC-306</v>
      </c>
    </row>
    <row r="20" spans="2:2" x14ac:dyDescent="0.25">
      <c r="B20" t="str">
        <v>ACC-310</v>
      </c>
    </row>
    <row r="21" spans="2:2" x14ac:dyDescent="0.25">
      <c r="B21" t="str">
        <v>ACC-312</v>
      </c>
    </row>
    <row r="22" spans="2:2" x14ac:dyDescent="0.25">
      <c r="B22" t="str">
        <v>ACC-314</v>
      </c>
    </row>
    <row r="23" spans="2:2" x14ac:dyDescent="0.25">
      <c r="B23" t="str">
        <v>ACC-316</v>
      </c>
    </row>
    <row r="24" spans="2:2" x14ac:dyDescent="0.25">
      <c r="B24" t="str">
        <v>ACC-317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Subscriptions</vt:lpstr>
      <vt:lpstr>Account Executives</vt:lpstr>
      <vt:lpstr>Onboarding tier</vt:lpstr>
      <vt:lpstr>Section 2)</vt:lpstr>
      <vt:lpstr>Section 3)</vt:lpstr>
      <vt:lpstr>Section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Jadhav</dc:creator>
  <cp:lastModifiedBy>Prathamesh Jadhav</cp:lastModifiedBy>
  <dcterms:created xsi:type="dcterms:W3CDTF">2026-10-29T12:54:23Z</dcterms:created>
  <dcterms:modified xsi:type="dcterms:W3CDTF">2026-10-29T14:44:12Z</dcterms:modified>
</cp:coreProperties>
</file>